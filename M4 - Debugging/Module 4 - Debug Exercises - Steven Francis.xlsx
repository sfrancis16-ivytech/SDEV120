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densepixel/Desktop/M3/Module 4 - Debugging/"/>
    </mc:Choice>
  </mc:AlternateContent>
  <xr:revisionPtr revIDLastSave="0" documentId="11_C5A962DA165F6745B5667A86C9FD1AFB86DAC2B7" xr6:coauthVersionLast="47" xr6:coauthVersionMax="47" xr10:uidLastSave="{00000000-0000-0000-0000-000000000000}"/>
  <bookViews>
    <workbookView xWindow="0" yWindow="760" windowWidth="30600" windowHeight="24100" tabRatio="500" activeTab="3" xr2:uid="{00000000-000D-0000-FFFF-FFFF00000000}"/>
  </bookViews>
  <sheets>
    <sheet name="Exercise 01" sheetId="1" r:id="rId1"/>
    <sheet name="Exercise 02" sheetId="2" r:id="rId2"/>
    <sheet name="Exercise 03" sheetId="3" r:id="rId3"/>
    <sheet name="Exercise 04" sheetId="4" r:id="rId4"/>
  </sheets>
  <definedNames>
    <definedName name="_xlnm.Print_Area" localSheetId="0">'Exercise 01'!$A$1:$G$62</definedName>
    <definedName name="_xlnm.Print_Area" localSheetId="1">'Exercise 02'!$A$1:$G$60</definedName>
    <definedName name="_xlnm.Print_Area" localSheetId="2">'Exercise 03'!$A$1:$G$76</definedName>
    <definedName name="_xlnm.Print_Area" localSheetId="3">'Exercise 04'!$A$1:$G$63</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61" i="4" l="1"/>
  <c r="G61" i="4" s="1"/>
  <c r="F60" i="4"/>
  <c r="G60" i="4" s="1"/>
  <c r="F74" i="3"/>
  <c r="G74" i="3" s="1"/>
  <c r="E74" i="3"/>
  <c r="E73" i="3"/>
  <c r="F73" i="3" s="1"/>
  <c r="G73" i="3" s="1"/>
  <c r="E58" i="2"/>
  <c r="F58" i="2" s="1"/>
  <c r="G58" i="2" s="1"/>
  <c r="F57" i="2"/>
  <c r="G57" i="2" s="1"/>
  <c r="E57" i="2"/>
  <c r="E56" i="2"/>
  <c r="F56" i="2" s="1"/>
  <c r="G56" i="2" s="1"/>
  <c r="F59" i="1"/>
  <c r="E59" i="1"/>
  <c r="D59" i="1"/>
  <c r="E58" i="1"/>
  <c r="D58" i="1"/>
  <c r="F58" i="1" s="1"/>
  <c r="E57" i="1"/>
  <c r="D57" i="1"/>
  <c r="F57" i="1" s="1"/>
</calcChain>
</file>

<file path=xl/sharedStrings.xml><?xml version="1.0" encoding="utf-8"?>
<sst xmlns="http://schemas.openxmlformats.org/spreadsheetml/2006/main" count="251" uniqueCount="170">
  <si>
    <t>DEBUG Exercise - 01</t>
  </si>
  <si>
    <t>Steven Francis   |   SDEV120 - Module 4: Applying testing and debugging techniques</t>
  </si>
  <si>
    <t>Questions</t>
  </si>
  <si>
    <t>You have been tasked with reviewing and updating this program. What steps would you take to identify any issues in the code?</t>
  </si>
  <si>
    <t>First, I would read the comments at the top so I know what the program is supposed to do: average two test scores and display Pass if the average is 60 or higher, otherwise Fail. Next, I would review the Declarations and make sure every variable the program uses is declared there and spelled the same way everywhere it appears. Then I would trace the program one line at a time. For a loop, that means checking that the loop variable gets a value before the while condition is tested (a priming input) and gets a new value at the bottom of the loop; otherwise the loop can't start correctly or can never end. I would check every calculation for order of operations and every keyword for spelling (output, input, endif, endwhile). Finally, I would desk-check the program with test data where I already know the correct answer: a normal case (100 and 80 should average 90 and Pass), a boundary case (60 and 60 should average exactly 60 and Pass), a just-below case (50 and 69 should average 59.5 and Fail), and the sentinel value 0 to make sure the program quits. After fixing the problems I would run the same tests again to confirm the fixes worked and didn't break anything else.</t>
  </si>
  <si>
    <t>What actions could the developer have taken to minimize the number of errors?</t>
  </si>
  <si>
    <t>The developer could have planned the logic with a flowchart before writing the pseudocode, which would have shown the missing input steps right away. Using the standard priming-read loop structure every time (input before the loop, input again at the end of the loop body) would have prevented both missing inputs. Writing the formula with parentheses instead of relying on the order of operations would have fixed the average calculation. Desk-checking with a few sample values while writing, not just at the end, would have caught the wrong average (100 and 80 gives 140 in the original instead of 90). Consistent naming and indentation, plus having another person review the code, would also catch typos like "ouput" before the program is turned in.</t>
  </si>
  <si>
    <t>Corrected Pseudocode</t>
  </si>
  <si>
    <t>pseudocode  -  DEBUG Exercise - 01 - Steven Francis</t>
  </si>
  <si>
    <t xml:space="preserve">  // This pseudocode is intended to determine whether students have</t>
  </si>
  <si>
    <t xml:space="preserve">  // passed or failed a course; student needs to average 60 or</t>
  </si>
  <si>
    <t xml:space="preserve">  // more on two tests.</t>
  </si>
  <si>
    <t xml:space="preserve">  start</t>
  </si>
  <si>
    <t xml:space="preserve">     Declarations</t>
  </si>
  <si>
    <t xml:space="preserve">        num firstTest</t>
  </si>
  <si>
    <t xml:space="preserve">        num secondTest</t>
  </si>
  <si>
    <t xml:space="preserve">        num average</t>
  </si>
  <si>
    <t xml:space="preserve">        num PASSING = 60</t>
  </si>
  <si>
    <t xml:space="preserve">     output "Enter first score or 0 to quit "</t>
  </si>
  <si>
    <t xml:space="preserve">     input firstTest</t>
  </si>
  <si>
    <t xml:space="preserve">     while firstTest &lt;&gt; 0</t>
  </si>
  <si>
    <t xml:space="preserve">        output "Enter second score "</t>
  </si>
  <si>
    <t xml:space="preserve">        input secondTest</t>
  </si>
  <si>
    <t xml:space="preserve">        average = (firstTest + secondTest) / 2</t>
  </si>
  <si>
    <t xml:space="preserve">        output "Average is ", average</t>
  </si>
  <si>
    <t xml:space="preserve">        if average &gt;= PASSING then</t>
  </si>
  <si>
    <t xml:space="preserve">           output "Pass"</t>
  </si>
  <si>
    <t xml:space="preserve">        else</t>
  </si>
  <si>
    <t xml:space="preserve">           output "Fail"</t>
  </si>
  <si>
    <t xml:space="preserve">        endif</t>
  </si>
  <si>
    <t xml:space="preserve">        output "Enter first score or 0 to quit "</t>
  </si>
  <si>
    <t xml:space="preserve">        input firstTest</t>
  </si>
  <si>
    <t xml:space="preserve">     endwhile</t>
  </si>
  <si>
    <t xml:space="preserve">  stop</t>
  </si>
  <si>
    <t>Debugging Log - Errors Found and Corrected</t>
  </si>
  <si>
    <t>Missing priming input. The program prompted for the first score but never read it, so firstTest had no value when the while condition was tested. Added: input firstTest</t>
  </si>
  <si>
    <t>Changed "while firstTest not equal to 0" to "while firstTest &lt;&gt; 0" for readability.</t>
  </si>
  <si>
    <t>Average calculated incorrectly. Division happens before addition, so firstTest + secondTest / 2 only halved the second score. Changed to: average = (firstTest + secondTest) / 2</t>
  </si>
  <si>
    <t>Misspelled keyword "ouput" corrected to "output".</t>
  </si>
  <si>
    <t>Missing input at the end of the loop. The program asked for the next first score but never read it, so firstTest never changed and the loop could never end (infinite loop). Added: input firstTest  (just before endwhile)</t>
  </si>
  <si>
    <t>Desk-Check Test Data</t>
  </si>
  <si>
    <t>Blue numbers are test inputs; the other columns are formulas that follow the corrected pseudocode, so changing an input recalculates the expected result.</t>
  </si>
  <si>
    <t>PASSING</t>
  </si>
  <si>
    <t>constant from the program</t>
  </si>
  <si>
    <t>firstTest</t>
  </si>
  <si>
    <t>secondTest</t>
  </si>
  <si>
    <t>average (corrected)</t>
  </si>
  <si>
    <t>original formula (bug)</t>
  </si>
  <si>
    <t>output</t>
  </si>
  <si>
    <t>-</t>
  </si>
  <si>
    <t>loop ends, program stops</t>
  </si>
  <si>
    <t>The "original formula" column shows the bug: without parentheses, 100 + 80 / 2 = 140 instead of 90.</t>
  </si>
  <si>
    <t>DEBUG Exercise - 02</t>
  </si>
  <si>
    <t>pseudocode  -  DEBUG Exercise - 02 - Steven Francis</t>
  </si>
  <si>
    <t xml:space="preserve">  // This pseudocode is intended to display employee net pay values.</t>
  </si>
  <si>
    <t xml:space="preserve">  // All employees have a standard $45 deduction from their checks.</t>
  </si>
  <si>
    <t xml:space="preserve">  // If an employee does not earn enough to cover the deduction</t>
  </si>
  <si>
    <t xml:space="preserve">  // an error message is displayed.</t>
  </si>
  <si>
    <t xml:space="preserve">        string name</t>
  </si>
  <si>
    <t xml:space="preserve">        num hours</t>
  </si>
  <si>
    <t xml:space="preserve">        num rate</t>
  </si>
  <si>
    <t xml:space="preserve">        num DEDUCTION = 45</t>
  </si>
  <si>
    <t xml:space="preserve">        string EOFNAME = "ZZZ"</t>
  </si>
  <si>
    <t xml:space="preserve">        num gross</t>
  </si>
  <si>
    <t xml:space="preserve">        num net</t>
  </si>
  <si>
    <t xml:space="preserve">     output "Enter first name or ", EOFNAME, " to quit"</t>
  </si>
  <si>
    <t xml:space="preserve">     input name</t>
  </si>
  <si>
    <t xml:space="preserve">     while name &lt;&gt; EOFNAME</t>
  </si>
  <si>
    <t xml:space="preserve">        output "Enter hours worked for ", name</t>
  </si>
  <si>
    <t xml:space="preserve">        input hours</t>
  </si>
  <si>
    <t xml:space="preserve">        output "Enter hourly rate for ", name</t>
  </si>
  <si>
    <t xml:space="preserve">        input rate</t>
  </si>
  <si>
    <t xml:space="preserve">        gross = hours * rate</t>
  </si>
  <si>
    <t xml:space="preserve">        net = gross - DEDUCTION</t>
  </si>
  <si>
    <t xml:space="preserve">        if net &gt; 0 then</t>
  </si>
  <si>
    <t xml:space="preserve">           output "Net pay for ", name, " is ", net</t>
  </si>
  <si>
    <t xml:space="preserve">           output "Deductions not covered. Net is 0."</t>
  </si>
  <si>
    <t xml:space="preserve">        output "Enter next name or ", EOFNAME, " to quit"</t>
  </si>
  <si>
    <t xml:space="preserve">        input name</t>
  </si>
  <si>
    <t xml:space="preserve">     output "End of job"</t>
  </si>
  <si>
    <t>DEDUCTION was declared as a string. It holds the number 45 and is subtracted from gross, so it must be numeric. Changed to: num DEDUCTION = 45</t>
  </si>
  <si>
    <t>"if name not equal to EOFNAME ... endif" only processes one employee. The program reads the next name at the bottom, so this must be a loop. Changed to: while name &lt;&gt; EOFNAME ... endwhile</t>
  </si>
  <si>
    <t>"while net &gt; 0 then ... else ... endwhile" is a decision, not a loop. A while has no else, and since net never changes inside it, it would display the same line forever. Changed to: if net &gt; 0 then ... else ... endif</t>
  </si>
  <si>
    <t>Fixed the indentation of the "Deductions not covered" output so it lines up under else.</t>
  </si>
  <si>
    <t>DEDUCTION</t>
  </si>
  <si>
    <t>EOFNAME</t>
  </si>
  <si>
    <t>ZZZ</t>
  </si>
  <si>
    <t>sentinel value that ends the loop</t>
  </si>
  <si>
    <t>name</t>
  </si>
  <si>
    <t>hours</t>
  </si>
  <si>
    <t>rate</t>
  </si>
  <si>
    <t>gross</t>
  </si>
  <si>
    <t>net</t>
  </si>
  <si>
    <t>Ann</t>
  </si>
  <si>
    <t>Bob</t>
  </si>
  <si>
    <t>Cal</t>
  </si>
  <si>
    <t>loop ends, End of job</t>
  </si>
  <si>
    <t>DEBUG Exercise - 03</t>
  </si>
  <si>
    <t>pseudocode  -  DEBUG Exercise - 03 - Steven Francis</t>
  </si>
  <si>
    <t xml:space="preserve">  // This pseudocode is intended to display</t>
  </si>
  <si>
    <t xml:space="preserve">  // employee net pay values. All employees have a standard</t>
  </si>
  <si>
    <t xml:space="preserve">  // $45 deduction from their checks.</t>
  </si>
  <si>
    <t xml:space="preserve">  // This example is modularized.</t>
  </si>
  <si>
    <t xml:space="preserve">        string EOFNAME = "ZZZZ"</t>
  </si>
  <si>
    <t xml:space="preserve">     housekeeping()</t>
  </si>
  <si>
    <t xml:space="preserve">        mainLoop()</t>
  </si>
  <si>
    <t xml:space="preserve">     finish()</t>
  </si>
  <si>
    <t xml:space="preserve">  housekeeping()</t>
  </si>
  <si>
    <t xml:space="preserve">     output "Enter first name or ", EOFNAME, " to quit "</t>
  </si>
  <si>
    <t xml:space="preserve">  return</t>
  </si>
  <si>
    <t xml:space="preserve">  mainLoop()</t>
  </si>
  <si>
    <t xml:space="preserve">     output "Enter hours worked for ", name</t>
  </si>
  <si>
    <t xml:space="preserve">     input hours</t>
  </si>
  <si>
    <t xml:space="preserve">     output "Enter hourly rate for ", name</t>
  </si>
  <si>
    <t xml:space="preserve">     input rate</t>
  </si>
  <si>
    <t xml:space="preserve">     gross = hours * rate</t>
  </si>
  <si>
    <t xml:space="preserve">     net = gross - DEDUCTION</t>
  </si>
  <si>
    <t xml:space="preserve">     if net &gt; 0 then</t>
  </si>
  <si>
    <t xml:space="preserve">        output "Net pay for ", name, " is ", net</t>
  </si>
  <si>
    <t xml:space="preserve">     else</t>
  </si>
  <si>
    <t xml:space="preserve">        output "Deductions not covered. Net is 0."</t>
  </si>
  <si>
    <t xml:space="preserve">     endif</t>
  </si>
  <si>
    <t xml:space="preserve">     output "Enter next name or ", EOFNAME, " to quit "</t>
  </si>
  <si>
    <t xml:space="preserve">  finish()</t>
  </si>
  <si>
    <t>String constant was missing quotes: EOFNAME = ZZZZ. Changed to: string EOFNAME = "ZZZZ"</t>
  </si>
  <si>
    <t>housekeeping() was called inside a while loop that tests name before name has any value. Housekeeping runs one time at the start, so it is now called once with no loop.</t>
  </si>
  <si>
    <t>housekeeping() displayed the prompt but never read the answer. Added the priming read: input name</t>
  </si>
  <si>
    <t>gross is used in mainLoop() but was never declared. Added: num gross</t>
  </si>
  <si>
    <t>Moved the mainLoop() declarations (hours, rate, DEDUCTION, net) up to the main program's Declarations with the other variables, so every variable is declared in one place and is available to all of the modules (name and EOFNAME were already declared there and are used by the modules).</t>
  </si>
  <si>
    <t>finish() was inside "while name not equal to EOFNAME". When the main loop ends, name is equal to EOFNAME, so that loop never ran and "End of job" was never displayed. finish() is now called once after the main loop.</t>
  </si>
  <si>
    <t>Changed "not equal to" to "&lt;&gt;" for readability.</t>
  </si>
  <si>
    <t>ZZZZ</t>
  </si>
  <si>
    <t>Dana</t>
  </si>
  <si>
    <t>Eli</t>
  </si>
  <si>
    <t>DEBUG Exercise - 04</t>
  </si>
  <si>
    <t>pseudocode  -  DEBUG Exercise - 04 - Steven Francis</t>
  </si>
  <si>
    <t xml:space="preserve">  // This pseudocode segment is intended to compute and display</t>
  </si>
  <si>
    <t xml:space="preserve">  // the cost of home ownership for any number of users</t>
  </si>
  <si>
    <t xml:space="preserve">  // The program ends when a user enters 0 for the mortgage payment</t>
  </si>
  <si>
    <t xml:space="preserve">        num mortgagePayment</t>
  </si>
  <si>
    <t xml:space="preserve">        num utilities</t>
  </si>
  <si>
    <t xml:space="preserve">        num taxes</t>
  </si>
  <si>
    <t xml:space="preserve">        num upkeep</t>
  </si>
  <si>
    <t xml:space="preserve">        num total</t>
  </si>
  <si>
    <t xml:space="preserve">     startUp()</t>
  </si>
  <si>
    <t xml:space="preserve">     while mortgagePayment &lt;&gt; 0</t>
  </si>
  <si>
    <t xml:space="preserve">     finishUp()</t>
  </si>
  <si>
    <t xml:space="preserve">  startUp()</t>
  </si>
  <si>
    <t xml:space="preserve">     output "Enter your mortgage payment or 0 to quit"</t>
  </si>
  <si>
    <t xml:space="preserve">     input mortgagePayment</t>
  </si>
  <si>
    <t xml:space="preserve">     output "Enter utilities"</t>
  </si>
  <si>
    <t xml:space="preserve">     input utilities</t>
  </si>
  <si>
    <t xml:space="preserve">     output "Enter taxes"</t>
  </si>
  <si>
    <t xml:space="preserve">     input taxes</t>
  </si>
  <si>
    <t xml:space="preserve">     output "Enter amount for upkeep"</t>
  </si>
  <si>
    <t xml:space="preserve">     input upkeep</t>
  </si>
  <si>
    <t xml:space="preserve">     total = mortgagePayment + utilities + taxes + upkeep</t>
  </si>
  <si>
    <t xml:space="preserve">     output "Total is ", total</t>
  </si>
  <si>
    <t xml:space="preserve">  finishUp()</t>
  </si>
  <si>
    <t xml:space="preserve">     output "End of program"</t>
  </si>
  <si>
    <t>Module call "startup()" did not match the module name "startUp()". Changed the call to: startUp()</t>
  </si>
  <si>
    <t>Module call "MainLoop()" did not match the module name "mainLoop()". Changed the call to: mainLoop()</t>
  </si>
  <si>
    <t>startUp() read into "mtgPayment", which was never declared, while the loop tests mortgagePayment. Changed to: input mortgagePayment</t>
  </si>
  <si>
    <t>mainLoop() never asked for the next mortgage payment, so mortgagePayment never changed and the loop could never end (infinite loop). Added the prompt and "input mortgagePayment" at the end of mainLoop() so the program works for any number of users and stops on 0.</t>
  </si>
  <si>
    <t>mortgagePayment</t>
  </si>
  <si>
    <t>utilities</t>
  </si>
  <si>
    <t>taxes</t>
  </si>
  <si>
    <t>upkeep</t>
  </si>
  <si>
    <t>total</t>
  </si>
  <si>
    <t>loop ends, End of program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</si>
</sst>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charset val="1"/>
    </font>
    <font>
      <b/>
      <sz val="16"/>
      <name val="Arial"/>
      <family val="2"/>
    </font>
    <font>
      <sz val="10"/>
      <color rgb="FF595959"/>
      <name val="Arial"/>
      <family val="2"/>
    </font>
    <font>
      <b/>
      <sz val="11"/>
      <color rgb="FF000000"/>
      <name val="Arial"/>
      <family val="2"/>
    </font>
    <font>
      <b/>
      <sz val="10"/>
      <name val="Arial"/>
      <family val="2"/>
    </font>
    <font>
      <sz val="10"/>
      <name val="Arial"/>
      <family val="2"/>
    </font>
    <font>
      <i/>
      <sz val="8"/>
      <color rgb="FF808080"/>
      <name val="Arial"/>
      <family val="2"/>
    </font>
    <font>
      <sz val="9"/>
      <color rgb="FFA6A6A6"/>
      <name val="Consolas"/>
      <family val="2"/>
    </font>
    <font>
      <sz val="10"/>
      <color rgb="FF808080"/>
      <name val="Consolas"/>
      <family val="2"/>
    </font>
    <font>
      <sz val="10"/>
      <color rgb="FF000000"/>
      <name val="Consolas"/>
      <family val="2"/>
    </font>
    <font>
      <i/>
      <sz val="9"/>
      <color rgb="FF595959"/>
      <name val="Arial"/>
      <family val="2"/>
    </font>
    <font>
      <sz val="10"/>
      <color rgb="FF0000FF"/>
      <name val="Arial"/>
      <family val="2"/>
    </font>
  </fonts>
  <fills count="3">
    <fill>
      <patternFill patternType="none"/>
    </fill>
    <fill>
      <patternFill patternType="gray125"/>
    </fill>
    <fill>
      <patternFill patternType="solid">
        <fgColor rgb="FFF2F2F2"/>
        <bgColor rgb="FFFFFFCC"/>
      </patternFill>
    </fill>
  </fills>
  <borders count="3">
    <border>
      <left/>
      <right/>
      <top/>
      <bottom/>
      <diagonal/>
    </border>
    <border>
      <left/>
      <right/>
      <top/>
      <bottom style="thin">
        <color rgb="FF808080"/>
      </bottom>
      <diagonal/>
    </border>
    <border>
      <left style="thin">
        <color rgb="FFD1D5DB"/>
      </left>
      <right style="thin">
        <color rgb="FFD1D5DB"/>
      </right>
      <top style="thin">
        <color rgb="FFD1D5DB"/>
      </top>
      <bottom style="thin">
        <color rgb="FFD1D5DB"/>
      </bottom>
      <diagonal/>
    </border>
  </borders>
  <cellStyleXfs count="1">
    <xf numFmtId="0" fontId="0" fillId="0" borderId="0"/>
  </cellStyleXfs>
  <cellXfs count="22">
    <xf numFmtId="0" fontId="0" fillId="0" borderId="0" xfId="0"/>
    <xf numFmtId="0" fontId="5" fillId="0" borderId="2" xfId="0" applyFont="1" applyBorder="1" applyAlignment="1">
      <alignment horizontal="left" vertical="center"/>
    </xf>
    <xf numFmtId="0" fontId="4" fillId="2" borderId="2" xfId="0" applyFont="1" applyFill="1" applyBorder="1" applyAlignment="1">
      <alignment horizontal="center" vertical="center" wrapText="1"/>
    </xf>
    <xf numFmtId="0" fontId="10" fillId="0" borderId="0" xfId="0" applyFont="1" applyAlignment="1">
      <alignment vertical="top" wrapText="1"/>
    </xf>
    <xf numFmtId="0" fontId="9" fillId="0" borderId="0" xfId="0" applyFont="1" applyAlignment="1">
      <alignment vertical="center"/>
    </xf>
    <xf numFmtId="0" fontId="8" fillId="0" borderId="0" xfId="0" applyFont="1" applyAlignment="1">
      <alignment vertical="center"/>
    </xf>
    <xf numFmtId="0" fontId="6" fillId="0" borderId="0" xfId="0" applyFont="1" applyAlignment="1">
      <alignment vertical="center"/>
    </xf>
    <xf numFmtId="0" fontId="5" fillId="0" borderId="0" xfId="0" applyFont="1" applyAlignment="1">
      <alignment vertical="top" wrapText="1"/>
    </xf>
    <xf numFmtId="0" fontId="4" fillId="0" borderId="0" xfId="0" applyFont="1" applyAlignment="1">
      <alignment vertical="top" wrapText="1"/>
    </xf>
    <xf numFmtId="0" fontId="2" fillId="0" borderId="0" xfId="0" applyFont="1" applyAlignment="1">
      <alignment vertical="top"/>
    </xf>
    <xf numFmtId="0" fontId="1" fillId="0" borderId="0" xfId="0" applyFont="1" applyAlignment="1">
      <alignment vertical="center"/>
    </xf>
    <xf numFmtId="0" fontId="3" fillId="0" borderId="1" xfId="0" applyFont="1" applyBorder="1"/>
    <xf numFmtId="0" fontId="0" fillId="0" borderId="1" xfId="0" applyBorder="1"/>
    <xf numFmtId="0" fontId="7" fillId="0" borderId="0" xfId="0" applyFont="1" applyAlignment="1">
      <alignment horizontal="right" vertical="center"/>
    </xf>
    <xf numFmtId="0" fontId="4" fillId="0" borderId="0" xfId="0" applyFont="1" applyAlignment="1">
      <alignment horizontal="center" vertical="top"/>
    </xf>
    <xf numFmtId="0" fontId="4" fillId="0" borderId="0" xfId="0" applyFont="1"/>
    <xf numFmtId="0" fontId="11" fillId="0" borderId="2" xfId="0" applyFont="1" applyBorder="1" applyAlignment="1">
      <alignment horizontal="center"/>
    </xf>
    <xf numFmtId="0" fontId="10" fillId="0" borderId="0" xfId="0" applyFont="1"/>
    <xf numFmtId="0" fontId="4" fillId="2" borderId="2" xfId="0" applyFont="1" applyFill="1" applyBorder="1" applyAlignment="1">
      <alignment horizontal="center" vertical="center" wrapText="1"/>
    </xf>
    <xf numFmtId="0" fontId="11" fillId="0" borderId="2" xfId="0" applyFont="1" applyBorder="1" applyAlignment="1">
      <alignment horizontal="center" vertical="center"/>
    </xf>
    <xf numFmtId="0" fontId="5" fillId="0" borderId="2" xfId="0" applyFont="1" applyBorder="1" applyAlignment="1">
      <alignment horizontal="center" vertical="center"/>
    </xf>
    <xf numFmtId="0" fontId="5" fillId="0" borderId="2" xfId="0" applyFont="1" applyBorder="1" applyAlignment="1">
      <alignment horizontal="left" vertical="center"/>
    </xf>
  </cellXfs>
  <cellStyles count="1">
    <cellStyle name="Normal" xfId="0" builtinId="0"/>
  </cellStyles>
  <dxfs count="0"/>
  <tableStyles count="0" defaultTableStyle="TableStyleMedium2" defaultPivotStyle="PivotStyleLight16"/>
  <colors>
    <indexedColors>
      <rgbColor rgb="FF000000"/>
      <rgbColor rgb="FFF2F2F2"/>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A6A6A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62"/>
  <sheetViews>
    <sheetView showGridLines="0" topLeftCell="A18" zoomScaleNormal="100" workbookViewId="0">
      <selection sqref="A1:G1"/>
    </sheetView>
  </sheetViews>
  <sheetFormatPr baseColWidth="10" defaultColWidth="8.6640625" defaultRowHeight="15" x14ac:dyDescent="0.2"/>
  <cols>
    <col min="1" max="1" width="5" customWidth="1"/>
    <col min="2" max="6" width="16" customWidth="1"/>
    <col min="7" max="7" width="34" customWidth="1"/>
  </cols>
  <sheetData>
    <row r="1" spans="1:7" ht="25.5" customHeight="1" x14ac:dyDescent="0.2">
      <c r="A1" s="10" t="s">
        <v>0</v>
      </c>
      <c r="B1" s="10"/>
      <c r="C1" s="10"/>
      <c r="D1" s="10"/>
      <c r="E1" s="10"/>
      <c r="F1" s="10"/>
      <c r="G1" s="10"/>
    </row>
    <row r="2" spans="1:7" ht="21.75" customHeight="1" x14ac:dyDescent="0.2">
      <c r="A2" s="9" t="s">
        <v>1</v>
      </c>
      <c r="B2" s="9"/>
      <c r="C2" s="9"/>
      <c r="D2" s="9"/>
      <c r="E2" s="9"/>
      <c r="F2" s="9"/>
      <c r="G2" s="9"/>
    </row>
    <row r="3" spans="1:7" ht="7.5" customHeight="1" x14ac:dyDescent="0.2"/>
    <row r="5" spans="1:7" ht="24" customHeight="1" x14ac:dyDescent="0.2">
      <c r="A5" s="11" t="s">
        <v>2</v>
      </c>
      <c r="B5" s="12"/>
      <c r="C5" s="12"/>
      <c r="D5" s="12"/>
      <c r="E5" s="12"/>
      <c r="F5" s="12"/>
      <c r="G5" s="12"/>
    </row>
    <row r="7" spans="1:7" ht="16.5" customHeight="1" x14ac:dyDescent="0.2">
      <c r="B7" s="8" t="s">
        <v>3</v>
      </c>
      <c r="C7" s="8"/>
      <c r="D7" s="8"/>
      <c r="E7" s="8"/>
      <c r="F7" s="8"/>
      <c r="G7" s="8"/>
    </row>
    <row r="8" spans="1:7" ht="131.25" customHeight="1" x14ac:dyDescent="0.2">
      <c r="B8" s="7" t="s">
        <v>4</v>
      </c>
      <c r="C8" s="7"/>
      <c r="D8" s="7"/>
      <c r="E8" s="7"/>
      <c r="F8" s="7"/>
      <c r="G8" s="7"/>
    </row>
    <row r="10" spans="1:7" ht="16.5" customHeight="1" x14ac:dyDescent="0.2">
      <c r="B10" s="8" t="s">
        <v>5</v>
      </c>
      <c r="C10" s="8"/>
      <c r="D10" s="8"/>
      <c r="E10" s="8"/>
      <c r="F10" s="8"/>
      <c r="G10" s="8"/>
    </row>
    <row r="11" spans="1:7" ht="80.25" customHeight="1" x14ac:dyDescent="0.2">
      <c r="B11" s="7" t="s">
        <v>6</v>
      </c>
      <c r="C11" s="7"/>
      <c r="D11" s="7"/>
      <c r="E11" s="7"/>
      <c r="F11" s="7"/>
      <c r="G11" s="7"/>
    </row>
    <row r="13" spans="1:7" ht="24" customHeight="1" x14ac:dyDescent="0.2">
      <c r="A13" s="11" t="s">
        <v>7</v>
      </c>
      <c r="B13" s="12"/>
      <c r="C13" s="12"/>
      <c r="D13" s="12"/>
      <c r="E13" s="12"/>
      <c r="F13" s="12"/>
      <c r="G13" s="12"/>
    </row>
    <row r="15" spans="1:7" ht="18" customHeight="1" x14ac:dyDescent="0.2">
      <c r="B15" s="6" t="s">
        <v>8</v>
      </c>
      <c r="C15" s="6"/>
      <c r="D15" s="6"/>
      <c r="E15" s="6"/>
      <c r="F15" s="6"/>
      <c r="G15" s="6"/>
    </row>
    <row r="16" spans="1:7" ht="15" customHeight="1" x14ac:dyDescent="0.2">
      <c r="A16" s="13">
        <v>1</v>
      </c>
      <c r="B16" s="5" t="s">
        <v>9</v>
      </c>
      <c r="C16" s="5"/>
      <c r="D16" s="5"/>
      <c r="E16" s="5"/>
      <c r="F16" s="5"/>
      <c r="G16" s="5"/>
    </row>
    <row r="17" spans="1:7" ht="15" customHeight="1" x14ac:dyDescent="0.2">
      <c r="A17" s="13">
        <v>2</v>
      </c>
      <c r="B17" s="5" t="s">
        <v>10</v>
      </c>
      <c r="C17" s="5"/>
      <c r="D17" s="5"/>
      <c r="E17" s="5"/>
      <c r="F17" s="5"/>
      <c r="G17" s="5"/>
    </row>
    <row r="18" spans="1:7" ht="15" customHeight="1" x14ac:dyDescent="0.2">
      <c r="A18" s="13">
        <v>3</v>
      </c>
      <c r="B18" s="5" t="s">
        <v>11</v>
      </c>
      <c r="C18" s="5"/>
      <c r="D18" s="5"/>
      <c r="E18" s="5"/>
      <c r="F18" s="5"/>
      <c r="G18" s="5"/>
    </row>
    <row r="19" spans="1:7" ht="15" customHeight="1" x14ac:dyDescent="0.2">
      <c r="A19" s="13">
        <v>4</v>
      </c>
      <c r="B19" s="4" t="s">
        <v>12</v>
      </c>
      <c r="C19" s="4"/>
      <c r="D19" s="4"/>
      <c r="E19" s="4"/>
      <c r="F19" s="4"/>
      <c r="G19" s="4"/>
    </row>
    <row r="20" spans="1:7" ht="15" customHeight="1" x14ac:dyDescent="0.2">
      <c r="A20" s="13">
        <v>5</v>
      </c>
      <c r="B20" s="4" t="s">
        <v>13</v>
      </c>
      <c r="C20" s="4"/>
      <c r="D20" s="4"/>
      <c r="E20" s="4"/>
      <c r="F20" s="4"/>
      <c r="G20" s="4"/>
    </row>
    <row r="21" spans="1:7" ht="15" customHeight="1" x14ac:dyDescent="0.2">
      <c r="A21" s="13">
        <v>6</v>
      </c>
      <c r="B21" s="4" t="s">
        <v>14</v>
      </c>
      <c r="C21" s="4"/>
      <c r="D21" s="4"/>
      <c r="E21" s="4"/>
      <c r="F21" s="4"/>
      <c r="G21" s="4"/>
    </row>
    <row r="22" spans="1:7" ht="15" customHeight="1" x14ac:dyDescent="0.2">
      <c r="A22" s="13">
        <v>7</v>
      </c>
      <c r="B22" s="4" t="s">
        <v>15</v>
      </c>
      <c r="C22" s="4"/>
      <c r="D22" s="4"/>
      <c r="E22" s="4"/>
      <c r="F22" s="4"/>
      <c r="G22" s="4"/>
    </row>
    <row r="23" spans="1:7" ht="15" customHeight="1" x14ac:dyDescent="0.2">
      <c r="A23" s="13">
        <v>8</v>
      </c>
      <c r="B23" s="4" t="s">
        <v>16</v>
      </c>
      <c r="C23" s="4"/>
      <c r="D23" s="4"/>
      <c r="E23" s="4"/>
      <c r="F23" s="4"/>
      <c r="G23" s="4"/>
    </row>
    <row r="24" spans="1:7" ht="15" customHeight="1" x14ac:dyDescent="0.2">
      <c r="A24" s="13">
        <v>9</v>
      </c>
      <c r="B24" s="4" t="s">
        <v>17</v>
      </c>
      <c r="C24" s="4"/>
      <c r="D24" s="4"/>
      <c r="E24" s="4"/>
      <c r="F24" s="4"/>
      <c r="G24" s="4"/>
    </row>
    <row r="25" spans="1:7" ht="15" customHeight="1" x14ac:dyDescent="0.2">
      <c r="A25" s="13">
        <v>10</v>
      </c>
      <c r="B25" s="4" t="s">
        <v>18</v>
      </c>
      <c r="C25" s="4"/>
      <c r="D25" s="4"/>
      <c r="E25" s="4"/>
      <c r="F25" s="4"/>
      <c r="G25" s="4"/>
    </row>
    <row r="26" spans="1:7" ht="15" customHeight="1" x14ac:dyDescent="0.2">
      <c r="A26" s="13">
        <v>11</v>
      </c>
      <c r="B26" s="4" t="s">
        <v>19</v>
      </c>
      <c r="C26" s="4"/>
      <c r="D26" s="4"/>
      <c r="E26" s="4"/>
      <c r="F26" s="4"/>
      <c r="G26" s="4"/>
    </row>
    <row r="27" spans="1:7" ht="15" customHeight="1" x14ac:dyDescent="0.2">
      <c r="A27" s="13">
        <v>12</v>
      </c>
      <c r="B27" s="4" t="s">
        <v>20</v>
      </c>
      <c r="C27" s="4"/>
      <c r="D27" s="4"/>
      <c r="E27" s="4"/>
      <c r="F27" s="4"/>
      <c r="G27" s="4"/>
    </row>
    <row r="28" spans="1:7" ht="15" customHeight="1" x14ac:dyDescent="0.2">
      <c r="A28" s="13">
        <v>13</v>
      </c>
      <c r="B28" s="4" t="s">
        <v>21</v>
      </c>
      <c r="C28" s="4"/>
      <c r="D28" s="4"/>
      <c r="E28" s="4"/>
      <c r="F28" s="4"/>
      <c r="G28" s="4"/>
    </row>
    <row r="29" spans="1:7" ht="15" customHeight="1" x14ac:dyDescent="0.2">
      <c r="A29" s="13">
        <v>14</v>
      </c>
      <c r="B29" s="4" t="s">
        <v>22</v>
      </c>
      <c r="C29" s="4"/>
      <c r="D29" s="4"/>
      <c r="E29" s="4"/>
      <c r="F29" s="4"/>
      <c r="G29" s="4"/>
    </row>
    <row r="30" spans="1:7" ht="15" customHeight="1" x14ac:dyDescent="0.2">
      <c r="A30" s="13">
        <v>15</v>
      </c>
      <c r="B30" s="4" t="s">
        <v>23</v>
      </c>
      <c r="C30" s="4"/>
      <c r="D30" s="4"/>
      <c r="E30" s="4"/>
      <c r="F30" s="4"/>
      <c r="G30" s="4"/>
    </row>
    <row r="31" spans="1:7" ht="15" customHeight="1" x14ac:dyDescent="0.2">
      <c r="A31" s="13">
        <v>16</v>
      </c>
      <c r="B31" s="4" t="s">
        <v>24</v>
      </c>
      <c r="C31" s="4"/>
      <c r="D31" s="4"/>
      <c r="E31" s="4"/>
      <c r="F31" s="4"/>
      <c r="G31" s="4"/>
    </row>
    <row r="32" spans="1:7" ht="15" customHeight="1" x14ac:dyDescent="0.2">
      <c r="A32" s="13">
        <v>17</v>
      </c>
      <c r="B32" s="4" t="s">
        <v>25</v>
      </c>
      <c r="C32" s="4"/>
      <c r="D32" s="4"/>
      <c r="E32" s="4"/>
      <c r="F32" s="4"/>
      <c r="G32" s="4"/>
    </row>
    <row r="33" spans="1:7" ht="15" customHeight="1" x14ac:dyDescent="0.2">
      <c r="A33" s="13">
        <v>18</v>
      </c>
      <c r="B33" s="4" t="s">
        <v>26</v>
      </c>
      <c r="C33" s="4"/>
      <c r="D33" s="4"/>
      <c r="E33" s="4"/>
      <c r="F33" s="4"/>
      <c r="G33" s="4"/>
    </row>
    <row r="34" spans="1:7" ht="15" customHeight="1" x14ac:dyDescent="0.2">
      <c r="A34" s="13">
        <v>19</v>
      </c>
      <c r="B34" s="4" t="s">
        <v>27</v>
      </c>
      <c r="C34" s="4"/>
      <c r="D34" s="4"/>
      <c r="E34" s="4"/>
      <c r="F34" s="4"/>
      <c r="G34" s="4"/>
    </row>
    <row r="35" spans="1:7" ht="15" customHeight="1" x14ac:dyDescent="0.2">
      <c r="A35" s="13">
        <v>20</v>
      </c>
      <c r="B35" s="4" t="s">
        <v>28</v>
      </c>
      <c r="C35" s="4"/>
      <c r="D35" s="4"/>
      <c r="E35" s="4"/>
      <c r="F35" s="4"/>
      <c r="G35" s="4"/>
    </row>
    <row r="36" spans="1:7" ht="15" customHeight="1" x14ac:dyDescent="0.2">
      <c r="A36" s="13">
        <v>21</v>
      </c>
      <c r="B36" s="4" t="s">
        <v>29</v>
      </c>
      <c r="C36" s="4"/>
      <c r="D36" s="4"/>
      <c r="E36" s="4"/>
      <c r="F36" s="4"/>
      <c r="G36" s="4"/>
    </row>
    <row r="37" spans="1:7" ht="15" customHeight="1" x14ac:dyDescent="0.2">
      <c r="A37" s="13">
        <v>22</v>
      </c>
      <c r="B37" s="4" t="s">
        <v>30</v>
      </c>
      <c r="C37" s="4"/>
      <c r="D37" s="4"/>
      <c r="E37" s="4"/>
      <c r="F37" s="4"/>
      <c r="G37" s="4"/>
    </row>
    <row r="38" spans="1:7" ht="15" customHeight="1" x14ac:dyDescent="0.2">
      <c r="A38" s="13">
        <v>23</v>
      </c>
      <c r="B38" s="4" t="s">
        <v>31</v>
      </c>
      <c r="C38" s="4"/>
      <c r="D38" s="4"/>
      <c r="E38" s="4"/>
      <c r="F38" s="4"/>
      <c r="G38" s="4"/>
    </row>
    <row r="39" spans="1:7" ht="15" customHeight="1" x14ac:dyDescent="0.2">
      <c r="A39" s="13">
        <v>24</v>
      </c>
      <c r="B39" s="4" t="s">
        <v>32</v>
      </c>
      <c r="C39" s="4"/>
      <c r="D39" s="4"/>
      <c r="E39" s="4"/>
      <c r="F39" s="4"/>
      <c r="G39" s="4"/>
    </row>
    <row r="40" spans="1:7" ht="15" customHeight="1" x14ac:dyDescent="0.2">
      <c r="A40" s="13">
        <v>25</v>
      </c>
      <c r="B40" s="4" t="s">
        <v>33</v>
      </c>
      <c r="C40" s="4"/>
      <c r="D40" s="4"/>
      <c r="E40" s="4"/>
      <c r="F40" s="4"/>
      <c r="G40" s="4"/>
    </row>
    <row r="41" spans="1:7" ht="6" customHeight="1" x14ac:dyDescent="0.2"/>
    <row r="43" spans="1:7" ht="24" customHeight="1" x14ac:dyDescent="0.2">
      <c r="A43" s="11" t="s">
        <v>34</v>
      </c>
      <c r="B43" s="12"/>
      <c r="C43" s="12"/>
      <c r="D43" s="12"/>
      <c r="E43" s="12"/>
      <c r="F43" s="12"/>
      <c r="G43" s="12"/>
    </row>
    <row r="45" spans="1:7" ht="29.25" customHeight="1" x14ac:dyDescent="0.2">
      <c r="A45" s="14">
        <v>1</v>
      </c>
      <c r="B45" s="7" t="s">
        <v>35</v>
      </c>
      <c r="C45" s="7"/>
      <c r="D45" s="7"/>
      <c r="E45" s="7"/>
      <c r="F45" s="7"/>
      <c r="G45" s="7"/>
    </row>
    <row r="46" spans="1:7" ht="16.5" customHeight="1" x14ac:dyDescent="0.2">
      <c r="A46" s="14">
        <v>2</v>
      </c>
      <c r="B46" s="7" t="s">
        <v>36</v>
      </c>
      <c r="C46" s="7"/>
      <c r="D46" s="7"/>
      <c r="E46" s="7"/>
      <c r="F46" s="7"/>
      <c r="G46" s="7"/>
    </row>
    <row r="47" spans="1:7" ht="29.25" customHeight="1" x14ac:dyDescent="0.2">
      <c r="A47" s="14">
        <v>3</v>
      </c>
      <c r="B47" s="7" t="s">
        <v>37</v>
      </c>
      <c r="C47" s="7"/>
      <c r="D47" s="7"/>
      <c r="E47" s="7"/>
      <c r="F47" s="7"/>
      <c r="G47" s="7"/>
    </row>
    <row r="48" spans="1:7" ht="16.5" customHeight="1" x14ac:dyDescent="0.2">
      <c r="A48" s="14">
        <v>4</v>
      </c>
      <c r="B48" s="7" t="s">
        <v>38</v>
      </c>
      <c r="C48" s="7"/>
      <c r="D48" s="7"/>
      <c r="E48" s="7"/>
      <c r="F48" s="7"/>
      <c r="G48" s="7"/>
    </row>
    <row r="49" spans="1:7" ht="29.25" customHeight="1" x14ac:dyDescent="0.2">
      <c r="A49" s="14">
        <v>5</v>
      </c>
      <c r="B49" s="7" t="s">
        <v>39</v>
      </c>
      <c r="C49" s="7"/>
      <c r="D49" s="7"/>
      <c r="E49" s="7"/>
      <c r="F49" s="7"/>
      <c r="G49" s="7"/>
    </row>
    <row r="51" spans="1:7" ht="24" customHeight="1" x14ac:dyDescent="0.2">
      <c r="A51" s="11" t="s">
        <v>40</v>
      </c>
      <c r="B51" s="12"/>
      <c r="C51" s="12"/>
      <c r="D51" s="12"/>
      <c r="E51" s="12"/>
      <c r="F51" s="12"/>
      <c r="G51" s="12"/>
    </row>
    <row r="53" spans="1:7" ht="29.25" customHeight="1" x14ac:dyDescent="0.2">
      <c r="B53" s="3" t="s">
        <v>41</v>
      </c>
      <c r="C53" s="3"/>
      <c r="D53" s="3"/>
      <c r="E53" s="3"/>
      <c r="F53" s="3"/>
      <c r="G53" s="3"/>
    </row>
    <row r="54" spans="1:7" x14ac:dyDescent="0.2">
      <c r="B54" s="15" t="s">
        <v>42</v>
      </c>
      <c r="C54" s="16">
        <v>60</v>
      </c>
      <c r="D54" s="17" t="s">
        <v>43</v>
      </c>
    </row>
    <row r="56" spans="1:7" ht="30" customHeight="1" x14ac:dyDescent="0.2">
      <c r="B56" s="18" t="s">
        <v>44</v>
      </c>
      <c r="C56" s="18" t="s">
        <v>45</v>
      </c>
      <c r="D56" s="18" t="s">
        <v>46</v>
      </c>
      <c r="E56" s="18" t="s">
        <v>47</v>
      </c>
      <c r="F56" s="2" t="s">
        <v>48</v>
      </c>
      <c r="G56" s="2"/>
    </row>
    <row r="57" spans="1:7" ht="18" customHeight="1" x14ac:dyDescent="0.2">
      <c r="B57" s="19">
        <v>100</v>
      </c>
      <c r="C57" s="19">
        <v>80</v>
      </c>
      <c r="D57" s="20">
        <f>(B57+C57)/2</f>
        <v>90</v>
      </c>
      <c r="E57" s="20">
        <f>B57+C57/2</f>
        <v>140</v>
      </c>
      <c r="F57" s="1" t="str">
        <f>"Average is "&amp;D57&amp;" / "&amp;IF(D57&gt;=$C$54,"Pass","Fail")</f>
        <v>Average is 90 / Pass</v>
      </c>
      <c r="G57" s="1"/>
    </row>
    <row r="58" spans="1:7" ht="18" customHeight="1" x14ac:dyDescent="0.2">
      <c r="B58" s="19">
        <v>60</v>
      </c>
      <c r="C58" s="19">
        <v>60</v>
      </c>
      <c r="D58" s="20">
        <f>(B58+C58)/2</f>
        <v>60</v>
      </c>
      <c r="E58" s="20">
        <f>B58+C58/2</f>
        <v>90</v>
      </c>
      <c r="F58" s="1" t="str">
        <f>"Average is "&amp;D58&amp;" / "&amp;IF(D58&gt;=$C$54,"Pass","Fail")</f>
        <v>Average is 60 / Pass</v>
      </c>
      <c r="G58" s="1"/>
    </row>
    <row r="59" spans="1:7" ht="18" customHeight="1" x14ac:dyDescent="0.2">
      <c r="B59" s="19">
        <v>50</v>
      </c>
      <c r="C59" s="19">
        <v>69</v>
      </c>
      <c r="D59" s="20">
        <f>(B59+C59)/2</f>
        <v>59.5</v>
      </c>
      <c r="E59" s="20">
        <f>B59+C59/2</f>
        <v>84.5</v>
      </c>
      <c r="F59" s="1" t="str">
        <f>"Average is "&amp;D59&amp;" / "&amp;IF(D59&gt;=$C$54,"Pass","Fail")</f>
        <v>Average is 59.5 / Fail</v>
      </c>
      <c r="G59" s="1"/>
    </row>
    <row r="60" spans="1:7" ht="18" customHeight="1" x14ac:dyDescent="0.2">
      <c r="B60" s="19">
        <v>0</v>
      </c>
      <c r="C60" s="20" t="s">
        <v>49</v>
      </c>
      <c r="D60" s="20" t="s">
        <v>49</v>
      </c>
      <c r="E60" s="20" t="s">
        <v>49</v>
      </c>
      <c r="F60" s="1" t="s">
        <v>50</v>
      </c>
      <c r="G60" s="1"/>
    </row>
    <row r="62" spans="1:7" ht="16.5" customHeight="1" x14ac:dyDescent="0.2">
      <c r="B62" s="3" t="s">
        <v>51</v>
      </c>
      <c r="C62" s="3"/>
      <c r="D62" s="3"/>
      <c r="E62" s="3"/>
      <c r="F62" s="3"/>
      <c r="G62" s="3"/>
    </row>
  </sheetData>
  <mergeCells count="44">
    <mergeCell ref="F58:G58"/>
    <mergeCell ref="F59:G59"/>
    <mergeCell ref="F60:G60"/>
    <mergeCell ref="B62:G62"/>
    <mergeCell ref="B48:G48"/>
    <mergeCell ref="B49:G49"/>
    <mergeCell ref="B53:G53"/>
    <mergeCell ref="F56:G56"/>
    <mergeCell ref="F57:G57"/>
    <mergeCell ref="B39:G39"/>
    <mergeCell ref="B40:G40"/>
    <mergeCell ref="B45:G45"/>
    <mergeCell ref="B46:G46"/>
    <mergeCell ref="B47:G47"/>
    <mergeCell ref="B34:G34"/>
    <mergeCell ref="B35:G35"/>
    <mergeCell ref="B36:G36"/>
    <mergeCell ref="B37:G37"/>
    <mergeCell ref="B38:G38"/>
    <mergeCell ref="B29:G29"/>
    <mergeCell ref="B30:G30"/>
    <mergeCell ref="B31:G31"/>
    <mergeCell ref="B32:G32"/>
    <mergeCell ref="B33:G33"/>
    <mergeCell ref="B24:G24"/>
    <mergeCell ref="B25:G25"/>
    <mergeCell ref="B26:G26"/>
    <mergeCell ref="B27:G27"/>
    <mergeCell ref="B28:G28"/>
    <mergeCell ref="B19:G19"/>
    <mergeCell ref="B20:G20"/>
    <mergeCell ref="B21:G21"/>
    <mergeCell ref="B22:G22"/>
    <mergeCell ref="B23:G23"/>
    <mergeCell ref="B11:G11"/>
    <mergeCell ref="B15:G15"/>
    <mergeCell ref="B16:G16"/>
    <mergeCell ref="B17:G17"/>
    <mergeCell ref="B18:G18"/>
    <mergeCell ref="A1:G1"/>
    <mergeCell ref="A2:G2"/>
    <mergeCell ref="B7:G7"/>
    <mergeCell ref="B8:G8"/>
    <mergeCell ref="B10:G10"/>
  </mergeCells>
  <printOptions horizontalCentered="1"/>
  <pageMargins left="0.75" right="0.75" top="1" bottom="1" header="0.511811023622047" footer="0.511811023622047"/>
  <pageSetup fitToHeight="0"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59"/>
  <sheetViews>
    <sheetView showGridLines="0" zoomScaleNormal="100" workbookViewId="0">
      <selection sqref="A1:G1"/>
    </sheetView>
  </sheetViews>
  <sheetFormatPr baseColWidth="10" defaultColWidth="8.6640625" defaultRowHeight="15" x14ac:dyDescent="0.2"/>
  <cols>
    <col min="1" max="1" width="5" customWidth="1"/>
    <col min="2" max="6" width="16" customWidth="1"/>
    <col min="7" max="7" width="34" customWidth="1"/>
  </cols>
  <sheetData>
    <row r="1" spans="1:7" ht="25.5" customHeight="1" x14ac:dyDescent="0.2">
      <c r="A1" s="10" t="s">
        <v>52</v>
      </c>
      <c r="B1" s="10"/>
      <c r="C1" s="10"/>
      <c r="D1" s="10"/>
      <c r="E1" s="10"/>
      <c r="F1" s="10"/>
      <c r="G1" s="10"/>
    </row>
    <row r="2" spans="1:7" ht="21.75" customHeight="1" x14ac:dyDescent="0.2">
      <c r="A2" s="9" t="s">
        <v>1</v>
      </c>
      <c r="B2" s="9"/>
      <c r="C2" s="9"/>
      <c r="D2" s="9"/>
      <c r="E2" s="9"/>
      <c r="F2" s="9"/>
      <c r="G2" s="9"/>
    </row>
    <row r="3" spans="1:7" ht="7.5" customHeight="1" x14ac:dyDescent="0.2"/>
    <row r="5" spans="1:7" ht="24" customHeight="1" x14ac:dyDescent="0.2">
      <c r="A5" s="11" t="s">
        <v>7</v>
      </c>
      <c r="B5" s="12"/>
      <c r="C5" s="12"/>
      <c r="D5" s="12"/>
      <c r="E5" s="12"/>
      <c r="F5" s="12"/>
      <c r="G5" s="12"/>
    </row>
    <row r="7" spans="1:7" ht="18" customHeight="1" x14ac:dyDescent="0.2">
      <c r="B7" s="6" t="s">
        <v>53</v>
      </c>
      <c r="C7" s="6"/>
      <c r="D7" s="6"/>
      <c r="E7" s="6"/>
      <c r="F7" s="6"/>
      <c r="G7" s="6"/>
    </row>
    <row r="8" spans="1:7" ht="15" customHeight="1" x14ac:dyDescent="0.2">
      <c r="A8" s="13">
        <v>1</v>
      </c>
      <c r="B8" s="5" t="s">
        <v>54</v>
      </c>
      <c r="C8" s="5"/>
      <c r="D8" s="5"/>
      <c r="E8" s="5"/>
      <c r="F8" s="5"/>
      <c r="G8" s="5"/>
    </row>
    <row r="9" spans="1:7" ht="15" customHeight="1" x14ac:dyDescent="0.2">
      <c r="A9" s="13">
        <v>2</v>
      </c>
      <c r="B9" s="5" t="s">
        <v>55</v>
      </c>
      <c r="C9" s="5"/>
      <c r="D9" s="5"/>
      <c r="E9" s="5"/>
      <c r="F9" s="5"/>
      <c r="G9" s="5"/>
    </row>
    <row r="10" spans="1:7" ht="15" customHeight="1" x14ac:dyDescent="0.2">
      <c r="A10" s="13">
        <v>3</v>
      </c>
      <c r="B10" s="5" t="s">
        <v>56</v>
      </c>
      <c r="C10" s="5"/>
      <c r="D10" s="5"/>
      <c r="E10" s="5"/>
      <c r="F10" s="5"/>
      <c r="G10" s="5"/>
    </row>
    <row r="11" spans="1:7" ht="15" customHeight="1" x14ac:dyDescent="0.2">
      <c r="A11" s="13">
        <v>4</v>
      </c>
      <c r="B11" s="5" t="s">
        <v>57</v>
      </c>
      <c r="C11" s="5"/>
      <c r="D11" s="5"/>
      <c r="E11" s="5"/>
      <c r="F11" s="5"/>
      <c r="G11" s="5"/>
    </row>
    <row r="12" spans="1:7" ht="15" customHeight="1" x14ac:dyDescent="0.2">
      <c r="A12" s="13">
        <v>5</v>
      </c>
      <c r="B12" s="4" t="s">
        <v>12</v>
      </c>
      <c r="C12" s="4"/>
      <c r="D12" s="4"/>
      <c r="E12" s="4"/>
      <c r="F12" s="4"/>
      <c r="G12" s="4"/>
    </row>
    <row r="13" spans="1:7" ht="15" customHeight="1" x14ac:dyDescent="0.2">
      <c r="A13" s="13">
        <v>6</v>
      </c>
      <c r="B13" s="4" t="s">
        <v>13</v>
      </c>
      <c r="C13" s="4"/>
      <c r="D13" s="4"/>
      <c r="E13" s="4"/>
      <c r="F13" s="4"/>
      <c r="G13" s="4"/>
    </row>
    <row r="14" spans="1:7" ht="15" customHeight="1" x14ac:dyDescent="0.2">
      <c r="A14" s="13">
        <v>7</v>
      </c>
      <c r="B14" s="4" t="s">
        <v>58</v>
      </c>
      <c r="C14" s="4"/>
      <c r="D14" s="4"/>
      <c r="E14" s="4"/>
      <c r="F14" s="4"/>
      <c r="G14" s="4"/>
    </row>
    <row r="15" spans="1:7" ht="15" customHeight="1" x14ac:dyDescent="0.2">
      <c r="A15" s="13">
        <v>8</v>
      </c>
      <c r="B15" s="4" t="s">
        <v>59</v>
      </c>
      <c r="C15" s="4"/>
      <c r="D15" s="4"/>
      <c r="E15" s="4"/>
      <c r="F15" s="4"/>
      <c r="G15" s="4"/>
    </row>
    <row r="16" spans="1:7" ht="15" customHeight="1" x14ac:dyDescent="0.2">
      <c r="A16" s="13">
        <v>9</v>
      </c>
      <c r="B16" s="4" t="s">
        <v>60</v>
      </c>
      <c r="C16" s="4"/>
      <c r="D16" s="4"/>
      <c r="E16" s="4"/>
      <c r="F16" s="4"/>
      <c r="G16" s="4"/>
    </row>
    <row r="17" spans="1:7" ht="15" customHeight="1" x14ac:dyDescent="0.2">
      <c r="A17" s="13">
        <v>10</v>
      </c>
      <c r="B17" s="4" t="s">
        <v>61</v>
      </c>
      <c r="C17" s="4"/>
      <c r="D17" s="4"/>
      <c r="E17" s="4"/>
      <c r="F17" s="4"/>
      <c r="G17" s="4"/>
    </row>
    <row r="18" spans="1:7" ht="15" customHeight="1" x14ac:dyDescent="0.2">
      <c r="A18" s="13">
        <v>11</v>
      </c>
      <c r="B18" s="4" t="s">
        <v>62</v>
      </c>
      <c r="C18" s="4"/>
      <c r="D18" s="4"/>
      <c r="E18" s="4"/>
      <c r="F18" s="4"/>
      <c r="G18" s="4"/>
    </row>
    <row r="19" spans="1:7" ht="15" customHeight="1" x14ac:dyDescent="0.2">
      <c r="A19" s="13">
        <v>12</v>
      </c>
      <c r="B19" s="4" t="s">
        <v>63</v>
      </c>
      <c r="C19" s="4"/>
      <c r="D19" s="4"/>
      <c r="E19" s="4"/>
      <c r="F19" s="4"/>
      <c r="G19" s="4"/>
    </row>
    <row r="20" spans="1:7" ht="15" customHeight="1" x14ac:dyDescent="0.2">
      <c r="A20" s="13">
        <v>13</v>
      </c>
      <c r="B20" s="4" t="s">
        <v>64</v>
      </c>
      <c r="C20" s="4"/>
      <c r="D20" s="4"/>
      <c r="E20" s="4"/>
      <c r="F20" s="4"/>
      <c r="G20" s="4"/>
    </row>
    <row r="21" spans="1:7" ht="15" customHeight="1" x14ac:dyDescent="0.2">
      <c r="A21" s="13">
        <v>14</v>
      </c>
      <c r="B21" s="4" t="s">
        <v>65</v>
      </c>
      <c r="C21" s="4"/>
      <c r="D21" s="4"/>
      <c r="E21" s="4"/>
      <c r="F21" s="4"/>
      <c r="G21" s="4"/>
    </row>
    <row r="22" spans="1:7" ht="15" customHeight="1" x14ac:dyDescent="0.2">
      <c r="A22" s="13">
        <v>15</v>
      </c>
      <c r="B22" s="4" t="s">
        <v>66</v>
      </c>
      <c r="C22" s="4"/>
      <c r="D22" s="4"/>
      <c r="E22" s="4"/>
      <c r="F22" s="4"/>
      <c r="G22" s="4"/>
    </row>
    <row r="23" spans="1:7" ht="15" customHeight="1" x14ac:dyDescent="0.2">
      <c r="A23" s="13">
        <v>16</v>
      </c>
      <c r="B23" s="4" t="s">
        <v>67</v>
      </c>
      <c r="C23" s="4"/>
      <c r="D23" s="4"/>
      <c r="E23" s="4"/>
      <c r="F23" s="4"/>
      <c r="G23" s="4"/>
    </row>
    <row r="24" spans="1:7" ht="15" customHeight="1" x14ac:dyDescent="0.2">
      <c r="A24" s="13">
        <v>17</v>
      </c>
      <c r="B24" s="4" t="s">
        <v>68</v>
      </c>
      <c r="C24" s="4"/>
      <c r="D24" s="4"/>
      <c r="E24" s="4"/>
      <c r="F24" s="4"/>
      <c r="G24" s="4"/>
    </row>
    <row r="25" spans="1:7" ht="15" customHeight="1" x14ac:dyDescent="0.2">
      <c r="A25" s="13">
        <v>18</v>
      </c>
      <c r="B25" s="4" t="s">
        <v>69</v>
      </c>
      <c r="C25" s="4"/>
      <c r="D25" s="4"/>
      <c r="E25" s="4"/>
      <c r="F25" s="4"/>
      <c r="G25" s="4"/>
    </row>
    <row r="26" spans="1:7" ht="15" customHeight="1" x14ac:dyDescent="0.2">
      <c r="A26" s="13">
        <v>19</v>
      </c>
      <c r="B26" s="4" t="s">
        <v>70</v>
      </c>
      <c r="C26" s="4"/>
      <c r="D26" s="4"/>
      <c r="E26" s="4"/>
      <c r="F26" s="4"/>
      <c r="G26" s="4"/>
    </row>
    <row r="27" spans="1:7" ht="15" customHeight="1" x14ac:dyDescent="0.2">
      <c r="A27" s="13">
        <v>20</v>
      </c>
      <c r="B27" s="4" t="s">
        <v>71</v>
      </c>
      <c r="C27" s="4"/>
      <c r="D27" s="4"/>
      <c r="E27" s="4"/>
      <c r="F27" s="4"/>
      <c r="G27" s="4"/>
    </row>
    <row r="28" spans="1:7" ht="15" customHeight="1" x14ac:dyDescent="0.2">
      <c r="A28" s="13">
        <v>21</v>
      </c>
      <c r="B28" s="4" t="s">
        <v>72</v>
      </c>
      <c r="C28" s="4"/>
      <c r="D28" s="4"/>
      <c r="E28" s="4"/>
      <c r="F28" s="4"/>
      <c r="G28" s="4"/>
    </row>
    <row r="29" spans="1:7" ht="15" customHeight="1" x14ac:dyDescent="0.2">
      <c r="A29" s="13">
        <v>22</v>
      </c>
      <c r="B29" s="4" t="s">
        <v>73</v>
      </c>
      <c r="C29" s="4"/>
      <c r="D29" s="4"/>
      <c r="E29" s="4"/>
      <c r="F29" s="4"/>
      <c r="G29" s="4"/>
    </row>
    <row r="30" spans="1:7" ht="15" customHeight="1" x14ac:dyDescent="0.2">
      <c r="A30" s="13">
        <v>23</v>
      </c>
      <c r="B30" s="4" t="s">
        <v>74</v>
      </c>
      <c r="C30" s="4"/>
      <c r="D30" s="4"/>
      <c r="E30" s="4"/>
      <c r="F30" s="4"/>
      <c r="G30" s="4"/>
    </row>
    <row r="31" spans="1:7" ht="15" customHeight="1" x14ac:dyDescent="0.2">
      <c r="A31" s="13">
        <v>24</v>
      </c>
      <c r="B31" s="4" t="s">
        <v>75</v>
      </c>
      <c r="C31" s="4"/>
      <c r="D31" s="4"/>
      <c r="E31" s="4"/>
      <c r="F31" s="4"/>
      <c r="G31" s="4"/>
    </row>
    <row r="32" spans="1:7" ht="15" customHeight="1" x14ac:dyDescent="0.2">
      <c r="A32" s="13">
        <v>25</v>
      </c>
      <c r="B32" s="4" t="s">
        <v>27</v>
      </c>
      <c r="C32" s="4"/>
      <c r="D32" s="4"/>
      <c r="E32" s="4"/>
      <c r="F32" s="4"/>
      <c r="G32" s="4"/>
    </row>
    <row r="33" spans="1:7" ht="15" customHeight="1" x14ac:dyDescent="0.2">
      <c r="A33" s="13">
        <v>26</v>
      </c>
      <c r="B33" s="4" t="s">
        <v>76</v>
      </c>
      <c r="C33" s="4"/>
      <c r="D33" s="4"/>
      <c r="E33" s="4"/>
      <c r="F33" s="4"/>
      <c r="G33" s="4"/>
    </row>
    <row r="34" spans="1:7" ht="15" customHeight="1" x14ac:dyDescent="0.2">
      <c r="A34" s="13">
        <v>27</v>
      </c>
      <c r="B34" s="4" t="s">
        <v>29</v>
      </c>
      <c r="C34" s="4"/>
      <c r="D34" s="4"/>
      <c r="E34" s="4"/>
      <c r="F34" s="4"/>
      <c r="G34" s="4"/>
    </row>
    <row r="35" spans="1:7" ht="15" customHeight="1" x14ac:dyDescent="0.2">
      <c r="A35" s="13">
        <v>28</v>
      </c>
      <c r="B35" s="4" t="s">
        <v>77</v>
      </c>
      <c r="C35" s="4"/>
      <c r="D35" s="4"/>
      <c r="E35" s="4"/>
      <c r="F35" s="4"/>
      <c r="G35" s="4"/>
    </row>
    <row r="36" spans="1:7" ht="15" customHeight="1" x14ac:dyDescent="0.2">
      <c r="A36" s="13">
        <v>29</v>
      </c>
      <c r="B36" s="4" t="s">
        <v>78</v>
      </c>
      <c r="C36" s="4"/>
      <c r="D36" s="4"/>
      <c r="E36" s="4"/>
      <c r="F36" s="4"/>
      <c r="G36" s="4"/>
    </row>
    <row r="37" spans="1:7" ht="15" customHeight="1" x14ac:dyDescent="0.2">
      <c r="A37" s="13">
        <v>30</v>
      </c>
      <c r="B37" s="4" t="s">
        <v>32</v>
      </c>
      <c r="C37" s="4"/>
      <c r="D37" s="4"/>
      <c r="E37" s="4"/>
      <c r="F37" s="4"/>
      <c r="G37" s="4"/>
    </row>
    <row r="38" spans="1:7" ht="15" customHeight="1" x14ac:dyDescent="0.2">
      <c r="A38" s="13">
        <v>31</v>
      </c>
      <c r="B38" s="4" t="s">
        <v>79</v>
      </c>
      <c r="C38" s="4"/>
      <c r="D38" s="4"/>
      <c r="E38" s="4"/>
      <c r="F38" s="4"/>
      <c r="G38" s="4"/>
    </row>
    <row r="39" spans="1:7" ht="15" customHeight="1" x14ac:dyDescent="0.2">
      <c r="A39" s="13">
        <v>32</v>
      </c>
      <c r="B39" s="4" t="s">
        <v>33</v>
      </c>
      <c r="C39" s="4"/>
      <c r="D39" s="4"/>
      <c r="E39" s="4"/>
      <c r="F39" s="4"/>
      <c r="G39" s="4"/>
    </row>
    <row r="40" spans="1:7" ht="6" customHeight="1" x14ac:dyDescent="0.2"/>
    <row r="42" spans="1:7" ht="24" customHeight="1" x14ac:dyDescent="0.2">
      <c r="A42" s="11" t="s">
        <v>34</v>
      </c>
      <c r="B42" s="12"/>
      <c r="C42" s="12"/>
      <c r="D42" s="12"/>
      <c r="E42" s="12"/>
      <c r="F42" s="12"/>
      <c r="G42" s="12"/>
    </row>
    <row r="44" spans="1:7" ht="29.25" customHeight="1" x14ac:dyDescent="0.2">
      <c r="A44" s="14">
        <v>1</v>
      </c>
      <c r="B44" s="7" t="s">
        <v>80</v>
      </c>
      <c r="C44" s="7"/>
      <c r="D44" s="7"/>
      <c r="E44" s="7"/>
      <c r="F44" s="7"/>
      <c r="G44" s="7"/>
    </row>
    <row r="45" spans="1:7" ht="29.25" customHeight="1" x14ac:dyDescent="0.2">
      <c r="A45" s="14">
        <v>2</v>
      </c>
      <c r="B45" s="7" t="s">
        <v>81</v>
      </c>
      <c r="C45" s="7"/>
      <c r="D45" s="7"/>
      <c r="E45" s="7"/>
      <c r="F45" s="7"/>
      <c r="G45" s="7"/>
    </row>
    <row r="46" spans="1:7" ht="29.25" customHeight="1" x14ac:dyDescent="0.2">
      <c r="A46" s="14">
        <v>3</v>
      </c>
      <c r="B46" s="7" t="s">
        <v>82</v>
      </c>
      <c r="C46" s="7"/>
      <c r="D46" s="7"/>
      <c r="E46" s="7"/>
      <c r="F46" s="7"/>
      <c r="G46" s="7"/>
    </row>
    <row r="47" spans="1:7" ht="16.5" customHeight="1" x14ac:dyDescent="0.2">
      <c r="A47" s="14">
        <v>4</v>
      </c>
      <c r="B47" s="7" t="s">
        <v>83</v>
      </c>
      <c r="C47" s="7"/>
      <c r="D47" s="7"/>
      <c r="E47" s="7"/>
      <c r="F47" s="7"/>
      <c r="G47" s="7"/>
    </row>
    <row r="49" spans="1:7" ht="24" customHeight="1" x14ac:dyDescent="0.2">
      <c r="A49" s="11" t="s">
        <v>40</v>
      </c>
      <c r="B49" s="12"/>
      <c r="C49" s="12"/>
      <c r="D49" s="12"/>
      <c r="E49" s="12"/>
      <c r="F49" s="12"/>
      <c r="G49" s="12"/>
    </row>
    <row r="51" spans="1:7" ht="29.25" customHeight="1" x14ac:dyDescent="0.2">
      <c r="B51" s="3" t="s">
        <v>41</v>
      </c>
      <c r="C51" s="3"/>
      <c r="D51" s="3"/>
      <c r="E51" s="3"/>
      <c r="F51" s="3"/>
      <c r="G51" s="3"/>
    </row>
    <row r="52" spans="1:7" x14ac:dyDescent="0.2">
      <c r="B52" s="15" t="s">
        <v>84</v>
      </c>
      <c r="C52" s="16">
        <v>45</v>
      </c>
      <c r="D52" s="17" t="s">
        <v>43</v>
      </c>
    </row>
    <row r="53" spans="1:7" x14ac:dyDescent="0.2">
      <c r="B53" s="15" t="s">
        <v>85</v>
      </c>
      <c r="C53" s="16" t="s">
        <v>86</v>
      </c>
      <c r="D53" s="17" t="s">
        <v>87</v>
      </c>
    </row>
    <row r="55" spans="1:7" ht="30" customHeight="1" x14ac:dyDescent="0.2">
      <c r="B55" s="18" t="s">
        <v>88</v>
      </c>
      <c r="C55" s="18" t="s">
        <v>89</v>
      </c>
      <c r="D55" s="18" t="s">
        <v>90</v>
      </c>
      <c r="E55" s="18" t="s">
        <v>91</v>
      </c>
      <c r="F55" s="18" t="s">
        <v>92</v>
      </c>
      <c r="G55" s="18" t="s">
        <v>48</v>
      </c>
    </row>
    <row r="56" spans="1:7" ht="18" customHeight="1" x14ac:dyDescent="0.2">
      <c r="B56" s="21" t="s">
        <v>93</v>
      </c>
      <c r="C56" s="19">
        <v>40</v>
      </c>
      <c r="D56" s="19">
        <v>15</v>
      </c>
      <c r="E56" s="20">
        <f>C56*D56</f>
        <v>600</v>
      </c>
      <c r="F56" s="20">
        <f>E56-$C$52</f>
        <v>555</v>
      </c>
      <c r="G56" s="21" t="str">
        <f>IF(F56&gt;0,"Net pay for "&amp;B56&amp;" is "&amp;F56,"Deductions not covered. Net is 0.")</f>
        <v>Net pay for Ann is 555</v>
      </c>
    </row>
    <row r="57" spans="1:7" ht="18" customHeight="1" x14ac:dyDescent="0.2">
      <c r="B57" s="21" t="s">
        <v>94</v>
      </c>
      <c r="C57" s="19">
        <v>2</v>
      </c>
      <c r="D57" s="19">
        <v>20</v>
      </c>
      <c r="E57" s="20">
        <f>C57*D57</f>
        <v>40</v>
      </c>
      <c r="F57" s="20">
        <f>E57-$C$52</f>
        <v>-5</v>
      </c>
      <c r="G57" s="21" t="str">
        <f>IF(F57&gt;0,"Net pay for "&amp;B57&amp;" is "&amp;F57,"Deductions not covered. Net is 0.")</f>
        <v>Deductions not covered. Net is 0.</v>
      </c>
    </row>
    <row r="58" spans="1:7" ht="18" customHeight="1" x14ac:dyDescent="0.2">
      <c r="B58" s="21" t="s">
        <v>95</v>
      </c>
      <c r="C58" s="19">
        <v>3</v>
      </c>
      <c r="D58" s="19">
        <v>15</v>
      </c>
      <c r="E58" s="20">
        <f>C58*D58</f>
        <v>45</v>
      </c>
      <c r="F58" s="20">
        <f>E58-$C$52</f>
        <v>0</v>
      </c>
      <c r="G58" s="21" t="str">
        <f>IF(F58&gt;0,"Net pay for "&amp;B58&amp;" is "&amp;F58,"Deductions not covered. Net is 0.")</f>
        <v>Deductions not covered. Net is 0.</v>
      </c>
    </row>
    <row r="59" spans="1:7" ht="18" customHeight="1" x14ac:dyDescent="0.2">
      <c r="B59" s="21" t="s">
        <v>86</v>
      </c>
      <c r="C59" s="20" t="s">
        <v>49</v>
      </c>
      <c r="D59" s="20" t="s">
        <v>49</v>
      </c>
      <c r="E59" s="20" t="s">
        <v>49</v>
      </c>
      <c r="F59" s="20" t="s">
        <v>49</v>
      </c>
      <c r="G59" s="21" t="s">
        <v>96</v>
      </c>
    </row>
  </sheetData>
  <mergeCells count="40">
    <mergeCell ref="B44:G44"/>
    <mergeCell ref="B45:G45"/>
    <mergeCell ref="B46:G46"/>
    <mergeCell ref="B47:G47"/>
    <mergeCell ref="B51:G51"/>
    <mergeCell ref="B35:G35"/>
    <mergeCell ref="B36:G36"/>
    <mergeCell ref="B37:G37"/>
    <mergeCell ref="B38:G38"/>
    <mergeCell ref="B39:G39"/>
    <mergeCell ref="B30:G30"/>
    <mergeCell ref="B31:G31"/>
    <mergeCell ref="B32:G32"/>
    <mergeCell ref="B33:G33"/>
    <mergeCell ref="B34:G34"/>
    <mergeCell ref="B25:G25"/>
    <mergeCell ref="B26:G26"/>
    <mergeCell ref="B27:G27"/>
    <mergeCell ref="B28:G28"/>
    <mergeCell ref="B29:G29"/>
    <mergeCell ref="B20:G20"/>
    <mergeCell ref="B21:G21"/>
    <mergeCell ref="B22:G22"/>
    <mergeCell ref="B23:G23"/>
    <mergeCell ref="B24:G24"/>
    <mergeCell ref="B15:G15"/>
    <mergeCell ref="B16:G16"/>
    <mergeCell ref="B17:G17"/>
    <mergeCell ref="B18:G18"/>
    <mergeCell ref="B19:G19"/>
    <mergeCell ref="B10:G10"/>
    <mergeCell ref="B11:G11"/>
    <mergeCell ref="B12:G12"/>
    <mergeCell ref="B13:G13"/>
    <mergeCell ref="B14:G14"/>
    <mergeCell ref="A1:G1"/>
    <mergeCell ref="A2:G2"/>
    <mergeCell ref="B7:G7"/>
    <mergeCell ref="B8:G8"/>
    <mergeCell ref="B9:G9"/>
  </mergeCells>
  <printOptions horizontalCentered="1"/>
  <pageMargins left="0.75" right="0.75" top="1" bottom="1" header="0.511811023622047" footer="0.511811023622047"/>
  <pageSetup fitToHeight="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G75"/>
  <sheetViews>
    <sheetView showGridLines="0" topLeftCell="A22" zoomScaleNormal="100" workbookViewId="0">
      <selection sqref="A1:G1"/>
    </sheetView>
  </sheetViews>
  <sheetFormatPr baseColWidth="10" defaultColWidth="8.6640625" defaultRowHeight="15" x14ac:dyDescent="0.2"/>
  <cols>
    <col min="1" max="1" width="5" customWidth="1"/>
    <col min="2" max="6" width="16" customWidth="1"/>
    <col min="7" max="7" width="34" customWidth="1"/>
  </cols>
  <sheetData>
    <row r="1" spans="1:7" ht="25.5" customHeight="1" x14ac:dyDescent="0.2">
      <c r="A1" s="10" t="s">
        <v>97</v>
      </c>
      <c r="B1" s="10"/>
      <c r="C1" s="10"/>
      <c r="D1" s="10"/>
      <c r="E1" s="10"/>
      <c r="F1" s="10"/>
      <c r="G1" s="10"/>
    </row>
    <row r="2" spans="1:7" ht="21.75" customHeight="1" x14ac:dyDescent="0.2">
      <c r="A2" s="9" t="s">
        <v>1</v>
      </c>
      <c r="B2" s="9"/>
      <c r="C2" s="9"/>
      <c r="D2" s="9"/>
      <c r="E2" s="9"/>
      <c r="F2" s="9"/>
      <c r="G2" s="9"/>
    </row>
    <row r="3" spans="1:7" ht="7.5" customHeight="1" x14ac:dyDescent="0.2"/>
    <row r="5" spans="1:7" ht="24" customHeight="1" x14ac:dyDescent="0.2">
      <c r="A5" s="11" t="s">
        <v>7</v>
      </c>
      <c r="B5" s="12"/>
      <c r="C5" s="12"/>
      <c r="D5" s="12"/>
      <c r="E5" s="12"/>
      <c r="F5" s="12"/>
      <c r="G5" s="12"/>
    </row>
    <row r="7" spans="1:7" ht="18" customHeight="1" x14ac:dyDescent="0.2">
      <c r="B7" s="6" t="s">
        <v>98</v>
      </c>
      <c r="C7" s="6"/>
      <c r="D7" s="6"/>
      <c r="E7" s="6"/>
      <c r="F7" s="6"/>
      <c r="G7" s="6"/>
    </row>
    <row r="8" spans="1:7" ht="15" customHeight="1" x14ac:dyDescent="0.2">
      <c r="A8" s="13">
        <v>1</v>
      </c>
      <c r="B8" s="5" t="s">
        <v>99</v>
      </c>
      <c r="C8" s="5"/>
      <c r="D8" s="5"/>
      <c r="E8" s="5"/>
      <c r="F8" s="5"/>
      <c r="G8" s="5"/>
    </row>
    <row r="9" spans="1:7" ht="15" customHeight="1" x14ac:dyDescent="0.2">
      <c r="A9" s="13">
        <v>2</v>
      </c>
      <c r="B9" s="5" t="s">
        <v>100</v>
      </c>
      <c r="C9" s="5"/>
      <c r="D9" s="5"/>
      <c r="E9" s="5"/>
      <c r="F9" s="5"/>
      <c r="G9" s="5"/>
    </row>
    <row r="10" spans="1:7" ht="15" customHeight="1" x14ac:dyDescent="0.2">
      <c r="A10" s="13">
        <v>3</v>
      </c>
      <c r="B10" s="5" t="s">
        <v>101</v>
      </c>
      <c r="C10" s="5"/>
      <c r="D10" s="5"/>
      <c r="E10" s="5"/>
      <c r="F10" s="5"/>
      <c r="G10" s="5"/>
    </row>
    <row r="11" spans="1:7" ht="15" customHeight="1" x14ac:dyDescent="0.2">
      <c r="A11" s="13">
        <v>4</v>
      </c>
      <c r="B11" s="5" t="s">
        <v>56</v>
      </c>
      <c r="C11" s="5"/>
      <c r="D11" s="5"/>
      <c r="E11" s="5"/>
      <c r="F11" s="5"/>
      <c r="G11" s="5"/>
    </row>
    <row r="12" spans="1:7" ht="15" customHeight="1" x14ac:dyDescent="0.2">
      <c r="A12" s="13">
        <v>5</v>
      </c>
      <c r="B12" s="5" t="s">
        <v>57</v>
      </c>
      <c r="C12" s="5"/>
      <c r="D12" s="5"/>
      <c r="E12" s="5"/>
      <c r="F12" s="5"/>
      <c r="G12" s="5"/>
    </row>
    <row r="13" spans="1:7" ht="15" customHeight="1" x14ac:dyDescent="0.2">
      <c r="A13" s="13">
        <v>6</v>
      </c>
      <c r="B13" s="5" t="s">
        <v>102</v>
      </c>
      <c r="C13" s="5"/>
      <c r="D13" s="5"/>
      <c r="E13" s="5"/>
      <c r="F13" s="5"/>
      <c r="G13" s="5"/>
    </row>
    <row r="14" spans="1:7" ht="15" customHeight="1" x14ac:dyDescent="0.2">
      <c r="A14" s="13">
        <v>7</v>
      </c>
      <c r="B14" s="4" t="s">
        <v>12</v>
      </c>
      <c r="C14" s="4"/>
      <c r="D14" s="4"/>
      <c r="E14" s="4"/>
      <c r="F14" s="4"/>
      <c r="G14" s="4"/>
    </row>
    <row r="15" spans="1:7" ht="15" customHeight="1" x14ac:dyDescent="0.2">
      <c r="A15" s="13">
        <v>8</v>
      </c>
      <c r="B15" s="4" t="s">
        <v>13</v>
      </c>
      <c r="C15" s="4"/>
      <c r="D15" s="4"/>
      <c r="E15" s="4"/>
      <c r="F15" s="4"/>
      <c r="G15" s="4"/>
    </row>
    <row r="16" spans="1:7" ht="15" customHeight="1" x14ac:dyDescent="0.2">
      <c r="A16" s="13">
        <v>9</v>
      </c>
      <c r="B16" s="4" t="s">
        <v>58</v>
      </c>
      <c r="C16" s="4"/>
      <c r="D16" s="4"/>
      <c r="E16" s="4"/>
      <c r="F16" s="4"/>
      <c r="G16" s="4"/>
    </row>
    <row r="17" spans="1:7" ht="15" customHeight="1" x14ac:dyDescent="0.2">
      <c r="A17" s="13">
        <v>10</v>
      </c>
      <c r="B17" s="4" t="s">
        <v>59</v>
      </c>
      <c r="C17" s="4"/>
      <c r="D17" s="4"/>
      <c r="E17" s="4"/>
      <c r="F17" s="4"/>
      <c r="G17" s="4"/>
    </row>
    <row r="18" spans="1:7" ht="15" customHeight="1" x14ac:dyDescent="0.2">
      <c r="A18" s="13">
        <v>11</v>
      </c>
      <c r="B18" s="4" t="s">
        <v>60</v>
      </c>
      <c r="C18" s="4"/>
      <c r="D18" s="4"/>
      <c r="E18" s="4"/>
      <c r="F18" s="4"/>
      <c r="G18" s="4"/>
    </row>
    <row r="19" spans="1:7" ht="15" customHeight="1" x14ac:dyDescent="0.2">
      <c r="A19" s="13">
        <v>12</v>
      </c>
      <c r="B19" s="4" t="s">
        <v>63</v>
      </c>
      <c r="C19" s="4"/>
      <c r="D19" s="4"/>
      <c r="E19" s="4"/>
      <c r="F19" s="4"/>
      <c r="G19" s="4"/>
    </row>
    <row r="20" spans="1:7" ht="15" customHeight="1" x14ac:dyDescent="0.2">
      <c r="A20" s="13">
        <v>13</v>
      </c>
      <c r="B20" s="4" t="s">
        <v>64</v>
      </c>
      <c r="C20" s="4"/>
      <c r="D20" s="4"/>
      <c r="E20" s="4"/>
      <c r="F20" s="4"/>
      <c r="G20" s="4"/>
    </row>
    <row r="21" spans="1:7" ht="15" customHeight="1" x14ac:dyDescent="0.2">
      <c r="A21" s="13">
        <v>14</v>
      </c>
      <c r="B21" s="4" t="s">
        <v>61</v>
      </c>
      <c r="C21" s="4"/>
      <c r="D21" s="4"/>
      <c r="E21" s="4"/>
      <c r="F21" s="4"/>
      <c r="G21" s="4"/>
    </row>
    <row r="22" spans="1:7" ht="15" customHeight="1" x14ac:dyDescent="0.2">
      <c r="A22" s="13">
        <v>15</v>
      </c>
      <c r="B22" s="4" t="s">
        <v>103</v>
      </c>
      <c r="C22" s="4"/>
      <c r="D22" s="4"/>
      <c r="E22" s="4"/>
      <c r="F22" s="4"/>
      <c r="G22" s="4"/>
    </row>
    <row r="23" spans="1:7" ht="15" customHeight="1" x14ac:dyDescent="0.2">
      <c r="A23" s="13">
        <v>16</v>
      </c>
      <c r="B23" s="4" t="s">
        <v>104</v>
      </c>
      <c r="C23" s="4"/>
      <c r="D23" s="4"/>
      <c r="E23" s="4"/>
      <c r="F23" s="4"/>
      <c r="G23" s="4"/>
    </row>
    <row r="24" spans="1:7" ht="15" customHeight="1" x14ac:dyDescent="0.2">
      <c r="A24" s="13">
        <v>17</v>
      </c>
      <c r="B24" s="4" t="s">
        <v>67</v>
      </c>
      <c r="C24" s="4"/>
      <c r="D24" s="4"/>
      <c r="E24" s="4"/>
      <c r="F24" s="4"/>
      <c r="G24" s="4"/>
    </row>
    <row r="25" spans="1:7" ht="15" customHeight="1" x14ac:dyDescent="0.2">
      <c r="A25" s="13">
        <v>18</v>
      </c>
      <c r="B25" s="4" t="s">
        <v>105</v>
      </c>
      <c r="C25" s="4"/>
      <c r="D25" s="4"/>
      <c r="E25" s="4"/>
      <c r="F25" s="4"/>
      <c r="G25" s="4"/>
    </row>
    <row r="26" spans="1:7" ht="15" customHeight="1" x14ac:dyDescent="0.2">
      <c r="A26" s="13">
        <v>19</v>
      </c>
      <c r="B26" s="4" t="s">
        <v>32</v>
      </c>
      <c r="C26" s="4"/>
      <c r="D26" s="4"/>
      <c r="E26" s="4"/>
      <c r="F26" s="4"/>
      <c r="G26" s="4"/>
    </row>
    <row r="27" spans="1:7" ht="15" customHeight="1" x14ac:dyDescent="0.2">
      <c r="A27" s="13">
        <v>20</v>
      </c>
      <c r="B27" s="4" t="s">
        <v>106</v>
      </c>
      <c r="C27" s="4"/>
      <c r="D27" s="4"/>
      <c r="E27" s="4"/>
      <c r="F27" s="4"/>
      <c r="G27" s="4"/>
    </row>
    <row r="28" spans="1:7" ht="15" customHeight="1" x14ac:dyDescent="0.2">
      <c r="A28" s="13">
        <v>21</v>
      </c>
      <c r="B28" s="4" t="s">
        <v>33</v>
      </c>
      <c r="C28" s="4"/>
      <c r="D28" s="4"/>
      <c r="E28" s="4"/>
      <c r="F28" s="4"/>
      <c r="G28" s="4"/>
    </row>
    <row r="29" spans="1:7" ht="15" customHeight="1" x14ac:dyDescent="0.2">
      <c r="A29" s="13">
        <v>22</v>
      </c>
      <c r="B29" s="4"/>
      <c r="C29" s="4"/>
      <c r="D29" s="4"/>
      <c r="E29" s="4"/>
      <c r="F29" s="4"/>
      <c r="G29" s="4"/>
    </row>
    <row r="30" spans="1:7" ht="15" customHeight="1" x14ac:dyDescent="0.2">
      <c r="A30" s="13">
        <v>23</v>
      </c>
      <c r="B30" s="4" t="s">
        <v>107</v>
      </c>
      <c r="C30" s="4"/>
      <c r="D30" s="4"/>
      <c r="E30" s="4"/>
      <c r="F30" s="4"/>
      <c r="G30" s="4"/>
    </row>
    <row r="31" spans="1:7" ht="15" customHeight="1" x14ac:dyDescent="0.2">
      <c r="A31" s="13">
        <v>24</v>
      </c>
      <c r="B31" s="4" t="s">
        <v>108</v>
      </c>
      <c r="C31" s="4"/>
      <c r="D31" s="4"/>
      <c r="E31" s="4"/>
      <c r="F31" s="4"/>
      <c r="G31" s="4"/>
    </row>
    <row r="32" spans="1:7" ht="15" customHeight="1" x14ac:dyDescent="0.2">
      <c r="A32" s="13">
        <v>25</v>
      </c>
      <c r="B32" s="4" t="s">
        <v>66</v>
      </c>
      <c r="C32" s="4"/>
      <c r="D32" s="4"/>
      <c r="E32" s="4"/>
      <c r="F32" s="4"/>
      <c r="G32" s="4"/>
    </row>
    <row r="33" spans="1:7" ht="15" customHeight="1" x14ac:dyDescent="0.2">
      <c r="A33" s="13">
        <v>26</v>
      </c>
      <c r="B33" s="4" t="s">
        <v>109</v>
      </c>
      <c r="C33" s="4"/>
      <c r="D33" s="4"/>
      <c r="E33" s="4"/>
      <c r="F33" s="4"/>
      <c r="G33" s="4"/>
    </row>
    <row r="34" spans="1:7" ht="15" customHeight="1" x14ac:dyDescent="0.2">
      <c r="A34" s="13">
        <v>27</v>
      </c>
      <c r="B34" s="4"/>
      <c r="C34" s="4"/>
      <c r="D34" s="4"/>
      <c r="E34" s="4"/>
      <c r="F34" s="4"/>
      <c r="G34" s="4"/>
    </row>
    <row r="35" spans="1:7" ht="15" customHeight="1" x14ac:dyDescent="0.2">
      <c r="A35" s="13">
        <v>28</v>
      </c>
      <c r="B35" s="4" t="s">
        <v>110</v>
      </c>
      <c r="C35" s="4"/>
      <c r="D35" s="4"/>
      <c r="E35" s="4"/>
      <c r="F35" s="4"/>
      <c r="G35" s="4"/>
    </row>
    <row r="36" spans="1:7" ht="15" customHeight="1" x14ac:dyDescent="0.2">
      <c r="A36" s="13">
        <v>29</v>
      </c>
      <c r="B36" s="4" t="s">
        <v>111</v>
      </c>
      <c r="C36" s="4"/>
      <c r="D36" s="4"/>
      <c r="E36" s="4"/>
      <c r="F36" s="4"/>
      <c r="G36" s="4"/>
    </row>
    <row r="37" spans="1:7" ht="15" customHeight="1" x14ac:dyDescent="0.2">
      <c r="A37" s="13">
        <v>30</v>
      </c>
      <c r="B37" s="4" t="s">
        <v>112</v>
      </c>
      <c r="C37" s="4"/>
      <c r="D37" s="4"/>
      <c r="E37" s="4"/>
      <c r="F37" s="4"/>
      <c r="G37" s="4"/>
    </row>
    <row r="38" spans="1:7" ht="15" customHeight="1" x14ac:dyDescent="0.2">
      <c r="A38" s="13">
        <v>31</v>
      </c>
      <c r="B38" s="4" t="s">
        <v>113</v>
      </c>
      <c r="C38" s="4"/>
      <c r="D38" s="4"/>
      <c r="E38" s="4"/>
      <c r="F38" s="4"/>
      <c r="G38" s="4"/>
    </row>
    <row r="39" spans="1:7" ht="15" customHeight="1" x14ac:dyDescent="0.2">
      <c r="A39" s="13">
        <v>32</v>
      </c>
      <c r="B39" s="4" t="s">
        <v>114</v>
      </c>
      <c r="C39" s="4"/>
      <c r="D39" s="4"/>
      <c r="E39" s="4"/>
      <c r="F39" s="4"/>
      <c r="G39" s="4"/>
    </row>
    <row r="40" spans="1:7" ht="15" customHeight="1" x14ac:dyDescent="0.2">
      <c r="A40" s="13">
        <v>33</v>
      </c>
      <c r="B40" s="4" t="s">
        <v>115</v>
      </c>
      <c r="C40" s="4"/>
      <c r="D40" s="4"/>
      <c r="E40" s="4"/>
      <c r="F40" s="4"/>
      <c r="G40" s="4"/>
    </row>
    <row r="41" spans="1:7" ht="15" customHeight="1" x14ac:dyDescent="0.2">
      <c r="A41" s="13">
        <v>34</v>
      </c>
      <c r="B41" s="4" t="s">
        <v>116</v>
      </c>
      <c r="C41" s="4"/>
      <c r="D41" s="4"/>
      <c r="E41" s="4"/>
      <c r="F41" s="4"/>
      <c r="G41" s="4"/>
    </row>
    <row r="42" spans="1:7" ht="15" customHeight="1" x14ac:dyDescent="0.2">
      <c r="A42" s="13">
        <v>35</v>
      </c>
      <c r="B42" s="4" t="s">
        <v>117</v>
      </c>
      <c r="C42" s="4"/>
      <c r="D42" s="4"/>
      <c r="E42" s="4"/>
      <c r="F42" s="4"/>
      <c r="G42" s="4"/>
    </row>
    <row r="43" spans="1:7" ht="15" customHeight="1" x14ac:dyDescent="0.2">
      <c r="A43" s="13">
        <v>36</v>
      </c>
      <c r="B43" s="4" t="s">
        <v>118</v>
      </c>
      <c r="C43" s="4"/>
      <c r="D43" s="4"/>
      <c r="E43" s="4"/>
      <c r="F43" s="4"/>
      <c r="G43" s="4"/>
    </row>
    <row r="44" spans="1:7" ht="15" customHeight="1" x14ac:dyDescent="0.2">
      <c r="A44" s="13">
        <v>37</v>
      </c>
      <c r="B44" s="4" t="s">
        <v>119</v>
      </c>
      <c r="C44" s="4"/>
      <c r="D44" s="4"/>
      <c r="E44" s="4"/>
      <c r="F44" s="4"/>
      <c r="G44" s="4"/>
    </row>
    <row r="45" spans="1:7" ht="15" customHeight="1" x14ac:dyDescent="0.2">
      <c r="A45" s="13">
        <v>38</v>
      </c>
      <c r="B45" s="4" t="s">
        <v>120</v>
      </c>
      <c r="C45" s="4"/>
      <c r="D45" s="4"/>
      <c r="E45" s="4"/>
      <c r="F45" s="4"/>
      <c r="G45" s="4"/>
    </row>
    <row r="46" spans="1:7" ht="15" customHeight="1" x14ac:dyDescent="0.2">
      <c r="A46" s="13">
        <v>39</v>
      </c>
      <c r="B46" s="4" t="s">
        <v>121</v>
      </c>
      <c r="C46" s="4"/>
      <c r="D46" s="4"/>
      <c r="E46" s="4"/>
      <c r="F46" s="4"/>
      <c r="G46" s="4"/>
    </row>
    <row r="47" spans="1:7" ht="15" customHeight="1" x14ac:dyDescent="0.2">
      <c r="A47" s="13">
        <v>40</v>
      </c>
      <c r="B47" s="4" t="s">
        <v>122</v>
      </c>
      <c r="C47" s="4"/>
      <c r="D47" s="4"/>
      <c r="E47" s="4"/>
      <c r="F47" s="4"/>
      <c r="G47" s="4"/>
    </row>
    <row r="48" spans="1:7" ht="15" customHeight="1" x14ac:dyDescent="0.2">
      <c r="A48" s="13">
        <v>41</v>
      </c>
      <c r="B48" s="4" t="s">
        <v>66</v>
      </c>
      <c r="C48" s="4"/>
      <c r="D48" s="4"/>
      <c r="E48" s="4"/>
      <c r="F48" s="4"/>
      <c r="G48" s="4"/>
    </row>
    <row r="49" spans="1:7" ht="15" customHeight="1" x14ac:dyDescent="0.2">
      <c r="A49" s="13">
        <v>42</v>
      </c>
      <c r="B49" s="4" t="s">
        <v>109</v>
      </c>
      <c r="C49" s="4"/>
      <c r="D49" s="4"/>
      <c r="E49" s="4"/>
      <c r="F49" s="4"/>
      <c r="G49" s="4"/>
    </row>
    <row r="50" spans="1:7" ht="15" customHeight="1" x14ac:dyDescent="0.2">
      <c r="A50" s="13">
        <v>43</v>
      </c>
      <c r="B50" s="4"/>
      <c r="C50" s="4"/>
      <c r="D50" s="4"/>
      <c r="E50" s="4"/>
      <c r="F50" s="4"/>
      <c r="G50" s="4"/>
    </row>
    <row r="51" spans="1:7" ht="15" customHeight="1" x14ac:dyDescent="0.2">
      <c r="A51" s="13">
        <v>44</v>
      </c>
      <c r="B51" s="4" t="s">
        <v>123</v>
      </c>
      <c r="C51" s="4"/>
      <c r="D51" s="4"/>
      <c r="E51" s="4"/>
      <c r="F51" s="4"/>
      <c r="G51" s="4"/>
    </row>
    <row r="52" spans="1:7" ht="15" customHeight="1" x14ac:dyDescent="0.2">
      <c r="A52" s="13">
        <v>45</v>
      </c>
      <c r="B52" s="4" t="s">
        <v>79</v>
      </c>
      <c r="C52" s="4"/>
      <c r="D52" s="4"/>
      <c r="E52" s="4"/>
      <c r="F52" s="4"/>
      <c r="G52" s="4"/>
    </row>
    <row r="53" spans="1:7" ht="15" customHeight="1" x14ac:dyDescent="0.2">
      <c r="A53" s="13">
        <v>46</v>
      </c>
      <c r="B53" s="4" t="s">
        <v>109</v>
      </c>
      <c r="C53" s="4"/>
      <c r="D53" s="4"/>
      <c r="E53" s="4"/>
      <c r="F53" s="4"/>
      <c r="G53" s="4"/>
    </row>
    <row r="54" spans="1:7" ht="6" customHeight="1" x14ac:dyDescent="0.2"/>
    <row r="56" spans="1:7" ht="24" customHeight="1" x14ac:dyDescent="0.2">
      <c r="A56" s="11" t="s">
        <v>34</v>
      </c>
      <c r="B56" s="12"/>
      <c r="C56" s="12"/>
      <c r="D56" s="12"/>
      <c r="E56" s="12"/>
      <c r="F56" s="12"/>
      <c r="G56" s="12"/>
    </row>
    <row r="58" spans="1:7" ht="16.5" customHeight="1" x14ac:dyDescent="0.2">
      <c r="A58" s="14">
        <v>1</v>
      </c>
      <c r="B58" s="7" t="s">
        <v>124</v>
      </c>
      <c r="C58" s="7"/>
      <c r="D58" s="7"/>
      <c r="E58" s="7"/>
      <c r="F58" s="7"/>
      <c r="G58" s="7"/>
    </row>
    <row r="59" spans="1:7" ht="29.25" customHeight="1" x14ac:dyDescent="0.2">
      <c r="A59" s="14">
        <v>2</v>
      </c>
      <c r="B59" s="7" t="s">
        <v>125</v>
      </c>
      <c r="C59" s="7"/>
      <c r="D59" s="7"/>
      <c r="E59" s="7"/>
      <c r="F59" s="7"/>
      <c r="G59" s="7"/>
    </row>
    <row r="60" spans="1:7" ht="16.5" customHeight="1" x14ac:dyDescent="0.2">
      <c r="A60" s="14">
        <v>3</v>
      </c>
      <c r="B60" s="7" t="s">
        <v>126</v>
      </c>
      <c r="C60" s="7"/>
      <c r="D60" s="7"/>
      <c r="E60" s="7"/>
      <c r="F60" s="7"/>
      <c r="G60" s="7"/>
    </row>
    <row r="61" spans="1:7" ht="16.5" customHeight="1" x14ac:dyDescent="0.2">
      <c r="A61" s="14">
        <v>4</v>
      </c>
      <c r="B61" s="7" t="s">
        <v>127</v>
      </c>
      <c r="C61" s="7"/>
      <c r="D61" s="7"/>
      <c r="E61" s="7"/>
      <c r="F61" s="7"/>
      <c r="G61" s="7"/>
    </row>
    <row r="62" spans="1:7" ht="42" customHeight="1" x14ac:dyDescent="0.2">
      <c r="A62" s="14">
        <v>5</v>
      </c>
      <c r="B62" s="7" t="s">
        <v>128</v>
      </c>
      <c r="C62" s="7"/>
      <c r="D62" s="7"/>
      <c r="E62" s="7"/>
      <c r="F62" s="7"/>
      <c r="G62" s="7"/>
    </row>
    <row r="63" spans="1:7" ht="29.25" customHeight="1" x14ac:dyDescent="0.2">
      <c r="A63" s="14">
        <v>6</v>
      </c>
      <c r="B63" s="7" t="s">
        <v>129</v>
      </c>
      <c r="C63" s="7"/>
      <c r="D63" s="7"/>
      <c r="E63" s="7"/>
      <c r="F63" s="7"/>
      <c r="G63" s="7"/>
    </row>
    <row r="64" spans="1:7" ht="16.5" customHeight="1" x14ac:dyDescent="0.2">
      <c r="A64" s="14">
        <v>7</v>
      </c>
      <c r="B64" s="7" t="s">
        <v>130</v>
      </c>
      <c r="C64" s="7"/>
      <c r="D64" s="7"/>
      <c r="E64" s="7"/>
      <c r="F64" s="7"/>
      <c r="G64" s="7"/>
    </row>
    <row r="66" spans="1:7" ht="24" customHeight="1" x14ac:dyDescent="0.2">
      <c r="A66" s="11" t="s">
        <v>40</v>
      </c>
      <c r="B66" s="12"/>
      <c r="C66" s="12"/>
      <c r="D66" s="12"/>
      <c r="E66" s="12"/>
      <c r="F66" s="12"/>
      <c r="G66" s="12"/>
    </row>
    <row r="68" spans="1:7" ht="29.25" customHeight="1" x14ac:dyDescent="0.2">
      <c r="B68" s="3" t="s">
        <v>41</v>
      </c>
      <c r="C68" s="3"/>
      <c r="D68" s="3"/>
      <c r="E68" s="3"/>
      <c r="F68" s="3"/>
      <c r="G68" s="3"/>
    </row>
    <row r="69" spans="1:7" x14ac:dyDescent="0.2">
      <c r="B69" s="15" t="s">
        <v>84</v>
      </c>
      <c r="C69" s="16">
        <v>45</v>
      </c>
      <c r="D69" s="17" t="s">
        <v>43</v>
      </c>
    </row>
    <row r="70" spans="1:7" x14ac:dyDescent="0.2">
      <c r="B70" s="15" t="s">
        <v>85</v>
      </c>
      <c r="C70" s="16" t="s">
        <v>131</v>
      </c>
      <c r="D70" s="17" t="s">
        <v>87</v>
      </c>
    </row>
    <row r="72" spans="1:7" ht="30" customHeight="1" x14ac:dyDescent="0.2">
      <c r="B72" s="18" t="s">
        <v>88</v>
      </c>
      <c r="C72" s="18" t="s">
        <v>89</v>
      </c>
      <c r="D72" s="18" t="s">
        <v>90</v>
      </c>
      <c r="E72" s="18" t="s">
        <v>91</v>
      </c>
      <c r="F72" s="18" t="s">
        <v>92</v>
      </c>
      <c r="G72" s="18" t="s">
        <v>48</v>
      </c>
    </row>
    <row r="73" spans="1:7" ht="18" customHeight="1" x14ac:dyDescent="0.2">
      <c r="B73" s="21" t="s">
        <v>132</v>
      </c>
      <c r="C73" s="19">
        <v>35</v>
      </c>
      <c r="D73" s="19">
        <v>18</v>
      </c>
      <c r="E73" s="20">
        <f>C73*D73</f>
        <v>630</v>
      </c>
      <c r="F73" s="20">
        <f>E73-$C$69</f>
        <v>585</v>
      </c>
      <c r="G73" s="21" t="str">
        <f>IF(F73&gt;0,"Net pay for "&amp;B73&amp;" is "&amp;F73,"Deductions not covered. Net is 0.")</f>
        <v>Net pay for Dana is 585</v>
      </c>
    </row>
    <row r="74" spans="1:7" ht="18" customHeight="1" x14ac:dyDescent="0.2">
      <c r="B74" s="21" t="s">
        <v>133</v>
      </c>
      <c r="C74" s="19">
        <v>1</v>
      </c>
      <c r="D74" s="19">
        <v>30</v>
      </c>
      <c r="E74" s="20">
        <f>C74*D74</f>
        <v>30</v>
      </c>
      <c r="F74" s="20">
        <f>E74-$C$69</f>
        <v>-15</v>
      </c>
      <c r="G74" s="21" t="str">
        <f>IF(F74&gt;0,"Net pay for "&amp;B74&amp;" is "&amp;F74,"Deductions not covered. Net is 0.")</f>
        <v>Deductions not covered. Net is 0.</v>
      </c>
    </row>
    <row r="75" spans="1:7" ht="18" customHeight="1" x14ac:dyDescent="0.2">
      <c r="B75" s="21" t="s">
        <v>131</v>
      </c>
      <c r="C75" s="20" t="s">
        <v>49</v>
      </c>
      <c r="D75" s="20" t="s">
        <v>49</v>
      </c>
      <c r="E75" s="20" t="s">
        <v>49</v>
      </c>
      <c r="F75" s="20" t="s">
        <v>49</v>
      </c>
      <c r="G75" s="21" t="s">
        <v>96</v>
      </c>
    </row>
  </sheetData>
  <mergeCells count="57">
    <mergeCell ref="B64:G64"/>
    <mergeCell ref="B68:G68"/>
    <mergeCell ref="B59:G59"/>
    <mergeCell ref="B60:G60"/>
    <mergeCell ref="B61:G61"/>
    <mergeCell ref="B62:G62"/>
    <mergeCell ref="B63:G63"/>
    <mergeCell ref="B50:G50"/>
    <mergeCell ref="B51:G51"/>
    <mergeCell ref="B52:G52"/>
    <mergeCell ref="B53:G53"/>
    <mergeCell ref="B58:G58"/>
    <mergeCell ref="B45:G45"/>
    <mergeCell ref="B46:G46"/>
    <mergeCell ref="B47:G47"/>
    <mergeCell ref="B48:G48"/>
    <mergeCell ref="B49:G49"/>
    <mergeCell ref="B40:G40"/>
    <mergeCell ref="B41:G41"/>
    <mergeCell ref="B42:G42"/>
    <mergeCell ref="B43:G43"/>
    <mergeCell ref="B44:G44"/>
    <mergeCell ref="B35:G35"/>
    <mergeCell ref="B36:G36"/>
    <mergeCell ref="B37:G37"/>
    <mergeCell ref="B38:G38"/>
    <mergeCell ref="B39:G39"/>
    <mergeCell ref="B30:G30"/>
    <mergeCell ref="B31:G31"/>
    <mergeCell ref="B32:G32"/>
    <mergeCell ref="B33:G33"/>
    <mergeCell ref="B34:G34"/>
    <mergeCell ref="B25:G25"/>
    <mergeCell ref="B26:G26"/>
    <mergeCell ref="B27:G27"/>
    <mergeCell ref="B28:G28"/>
    <mergeCell ref="B29:G29"/>
    <mergeCell ref="B20:G20"/>
    <mergeCell ref="B21:G21"/>
    <mergeCell ref="B22:G22"/>
    <mergeCell ref="B23:G23"/>
    <mergeCell ref="B24:G24"/>
    <mergeCell ref="B15:G15"/>
    <mergeCell ref="B16:G16"/>
    <mergeCell ref="B17:G17"/>
    <mergeCell ref="B18:G18"/>
    <mergeCell ref="B19:G19"/>
    <mergeCell ref="B10:G10"/>
    <mergeCell ref="B11:G11"/>
    <mergeCell ref="B12:G12"/>
    <mergeCell ref="B13:G13"/>
    <mergeCell ref="B14:G14"/>
    <mergeCell ref="A1:G1"/>
    <mergeCell ref="A2:G2"/>
    <mergeCell ref="B7:G7"/>
    <mergeCell ref="B8:G8"/>
    <mergeCell ref="B9:G9"/>
  </mergeCells>
  <printOptions horizontalCentered="1"/>
  <pageMargins left="0.75" right="0.75" top="1" bottom="1" header="0.511811023622047" footer="0.511811023622047"/>
  <pageSetup fitToHeight="0"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62"/>
  <sheetViews>
    <sheetView showGridLines="0" tabSelected="1" topLeftCell="A43" zoomScaleNormal="100" workbookViewId="0">
      <selection activeCell="B29" sqref="B29:G29"/>
    </sheetView>
  </sheetViews>
  <sheetFormatPr baseColWidth="10" defaultColWidth="8.6640625" defaultRowHeight="15" x14ac:dyDescent="0.2"/>
  <cols>
    <col min="1" max="1" width="5" customWidth="1"/>
    <col min="2" max="6" width="16" customWidth="1"/>
    <col min="7" max="7" width="34" customWidth="1"/>
  </cols>
  <sheetData>
    <row r="1" spans="1:7" ht="25.5" customHeight="1" x14ac:dyDescent="0.2">
      <c r="A1" s="10" t="s">
        <v>134</v>
      </c>
      <c r="B1" s="10"/>
      <c r="C1" s="10"/>
      <c r="D1" s="10"/>
      <c r="E1" s="10"/>
      <c r="F1" s="10"/>
      <c r="G1" s="10"/>
    </row>
    <row r="2" spans="1:7" ht="21.75" customHeight="1" x14ac:dyDescent="0.2">
      <c r="A2" s="9" t="s">
        <v>1</v>
      </c>
      <c r="B2" s="9"/>
      <c r="C2" s="9"/>
      <c r="D2" s="9"/>
      <c r="E2" s="9"/>
      <c r="F2" s="9"/>
      <c r="G2" s="9"/>
    </row>
    <row r="3" spans="1:7" ht="7.5" customHeight="1" x14ac:dyDescent="0.2"/>
    <row r="5" spans="1:7" ht="24" customHeight="1" x14ac:dyDescent="0.2">
      <c r="A5" s="11" t="s">
        <v>7</v>
      </c>
      <c r="B5" s="12"/>
      <c r="C5" s="12"/>
      <c r="D5" s="12"/>
      <c r="E5" s="12"/>
      <c r="F5" s="12"/>
      <c r="G5" s="12"/>
    </row>
    <row r="7" spans="1:7" ht="18" customHeight="1" x14ac:dyDescent="0.2">
      <c r="B7" s="6" t="s">
        <v>135</v>
      </c>
      <c r="C7" s="6"/>
      <c r="D7" s="6"/>
      <c r="E7" s="6"/>
      <c r="F7" s="6"/>
      <c r="G7" s="6"/>
    </row>
    <row r="8" spans="1:7" ht="15" customHeight="1" x14ac:dyDescent="0.2">
      <c r="A8" s="13">
        <v>1</v>
      </c>
      <c r="B8" s="5" t="s">
        <v>136</v>
      </c>
      <c r="C8" s="5"/>
      <c r="D8" s="5"/>
      <c r="E8" s="5"/>
      <c r="F8" s="5"/>
      <c r="G8" s="5"/>
    </row>
    <row r="9" spans="1:7" ht="15" customHeight="1" x14ac:dyDescent="0.2">
      <c r="A9" s="13">
        <v>2</v>
      </c>
      <c r="B9" s="5" t="s">
        <v>137</v>
      </c>
      <c r="C9" s="5"/>
      <c r="D9" s="5"/>
      <c r="E9" s="5"/>
      <c r="F9" s="5"/>
      <c r="G9" s="5"/>
    </row>
    <row r="10" spans="1:7" ht="15" customHeight="1" x14ac:dyDescent="0.2">
      <c r="A10" s="13">
        <v>3</v>
      </c>
      <c r="B10" s="5" t="s">
        <v>138</v>
      </c>
      <c r="C10" s="5"/>
      <c r="D10" s="5"/>
      <c r="E10" s="5"/>
      <c r="F10" s="5"/>
      <c r="G10" s="5"/>
    </row>
    <row r="11" spans="1:7" ht="15" customHeight="1" x14ac:dyDescent="0.2">
      <c r="A11" s="13">
        <v>4</v>
      </c>
      <c r="B11" s="4" t="s">
        <v>12</v>
      </c>
      <c r="C11" s="4"/>
      <c r="D11" s="4"/>
      <c r="E11" s="4"/>
      <c r="F11" s="4"/>
      <c r="G11" s="4"/>
    </row>
    <row r="12" spans="1:7" ht="15" customHeight="1" x14ac:dyDescent="0.2">
      <c r="A12" s="13">
        <v>5</v>
      </c>
      <c r="B12" s="4" t="s">
        <v>13</v>
      </c>
      <c r="C12" s="4"/>
      <c r="D12" s="4"/>
      <c r="E12" s="4"/>
      <c r="F12" s="4"/>
      <c r="G12" s="4"/>
    </row>
    <row r="13" spans="1:7" ht="15" customHeight="1" x14ac:dyDescent="0.2">
      <c r="A13" s="13">
        <v>6</v>
      </c>
      <c r="B13" s="4" t="s">
        <v>139</v>
      </c>
      <c r="C13" s="4"/>
      <c r="D13" s="4"/>
      <c r="E13" s="4"/>
      <c r="F13" s="4"/>
      <c r="G13" s="4"/>
    </row>
    <row r="14" spans="1:7" ht="15" customHeight="1" x14ac:dyDescent="0.2">
      <c r="A14" s="13">
        <v>7</v>
      </c>
      <c r="B14" s="4" t="s">
        <v>140</v>
      </c>
      <c r="C14" s="4"/>
      <c r="D14" s="4"/>
      <c r="E14" s="4"/>
      <c r="F14" s="4"/>
      <c r="G14" s="4"/>
    </row>
    <row r="15" spans="1:7" ht="15" customHeight="1" x14ac:dyDescent="0.2">
      <c r="A15" s="13">
        <v>8</v>
      </c>
      <c r="B15" s="4" t="s">
        <v>141</v>
      </c>
      <c r="C15" s="4"/>
      <c r="D15" s="4"/>
      <c r="E15" s="4"/>
      <c r="F15" s="4"/>
      <c r="G15" s="4"/>
    </row>
    <row r="16" spans="1:7" ht="15" customHeight="1" x14ac:dyDescent="0.2">
      <c r="A16" s="13">
        <v>9</v>
      </c>
      <c r="B16" s="4" t="s">
        <v>142</v>
      </c>
      <c r="C16" s="4"/>
      <c r="D16" s="4"/>
      <c r="E16" s="4"/>
      <c r="F16" s="4"/>
      <c r="G16" s="4"/>
    </row>
    <row r="17" spans="1:7" ht="15" customHeight="1" x14ac:dyDescent="0.2">
      <c r="A17" s="13">
        <v>10</v>
      </c>
      <c r="B17" s="4" t="s">
        <v>143</v>
      </c>
      <c r="C17" s="4"/>
      <c r="D17" s="4"/>
      <c r="E17" s="4"/>
      <c r="F17" s="4"/>
      <c r="G17" s="4"/>
    </row>
    <row r="18" spans="1:7" ht="15" customHeight="1" x14ac:dyDescent="0.2">
      <c r="A18" s="13">
        <v>11</v>
      </c>
      <c r="B18" s="4" t="s">
        <v>144</v>
      </c>
      <c r="C18" s="4"/>
      <c r="D18" s="4"/>
      <c r="E18" s="4"/>
      <c r="F18" s="4"/>
      <c r="G18" s="4"/>
    </row>
    <row r="19" spans="1:7" ht="15" customHeight="1" x14ac:dyDescent="0.2">
      <c r="A19" s="13">
        <v>12</v>
      </c>
      <c r="B19" s="4" t="s">
        <v>145</v>
      </c>
      <c r="C19" s="4"/>
      <c r="D19" s="4"/>
      <c r="E19" s="4"/>
      <c r="F19" s="4"/>
      <c r="G19" s="4"/>
    </row>
    <row r="20" spans="1:7" ht="15" customHeight="1" x14ac:dyDescent="0.2">
      <c r="A20" s="13">
        <v>13</v>
      </c>
      <c r="B20" s="4" t="s">
        <v>105</v>
      </c>
      <c r="C20" s="4"/>
      <c r="D20" s="4"/>
      <c r="E20" s="4"/>
      <c r="F20" s="4"/>
      <c r="G20" s="4"/>
    </row>
    <row r="21" spans="1:7" ht="15" customHeight="1" x14ac:dyDescent="0.2">
      <c r="A21" s="13">
        <v>14</v>
      </c>
      <c r="B21" s="4" t="s">
        <v>32</v>
      </c>
      <c r="C21" s="4"/>
      <c r="D21" s="4"/>
      <c r="E21" s="4"/>
      <c r="F21" s="4"/>
      <c r="G21" s="4"/>
    </row>
    <row r="22" spans="1:7" ht="15" customHeight="1" x14ac:dyDescent="0.2">
      <c r="A22" s="13">
        <v>15</v>
      </c>
      <c r="B22" s="4" t="s">
        <v>146</v>
      </c>
      <c r="C22" s="4"/>
      <c r="D22" s="4"/>
      <c r="E22" s="4"/>
      <c r="F22" s="4"/>
      <c r="G22" s="4"/>
    </row>
    <row r="23" spans="1:7" ht="15" customHeight="1" x14ac:dyDescent="0.2">
      <c r="A23" s="13">
        <v>16</v>
      </c>
      <c r="B23" s="4" t="s">
        <v>33</v>
      </c>
      <c r="C23" s="4"/>
      <c r="D23" s="4"/>
      <c r="E23" s="4"/>
      <c r="F23" s="4"/>
      <c r="G23" s="4"/>
    </row>
    <row r="24" spans="1:7" ht="15" customHeight="1" x14ac:dyDescent="0.2">
      <c r="A24" s="13">
        <v>17</v>
      </c>
      <c r="B24" s="4"/>
      <c r="C24" s="4"/>
      <c r="D24" s="4"/>
      <c r="E24" s="4"/>
      <c r="F24" s="4"/>
      <c r="G24" s="4"/>
    </row>
    <row r="25" spans="1:7" ht="15" customHeight="1" x14ac:dyDescent="0.2">
      <c r="A25" s="13">
        <v>18</v>
      </c>
      <c r="B25" s="4" t="s">
        <v>147</v>
      </c>
      <c r="C25" s="4"/>
      <c r="D25" s="4"/>
      <c r="E25" s="4"/>
      <c r="F25" s="4"/>
      <c r="G25" s="4"/>
    </row>
    <row r="26" spans="1:7" ht="15" customHeight="1" x14ac:dyDescent="0.2">
      <c r="A26" s="13">
        <v>19</v>
      </c>
      <c r="B26" s="4" t="s">
        <v>148</v>
      </c>
      <c r="C26" s="4"/>
      <c r="D26" s="4"/>
      <c r="E26" s="4"/>
      <c r="F26" s="4"/>
      <c r="G26" s="4"/>
    </row>
    <row r="27" spans="1:7" ht="15" customHeight="1" x14ac:dyDescent="0.2">
      <c r="A27" s="13">
        <v>20</v>
      </c>
      <c r="B27" s="4" t="s">
        <v>149</v>
      </c>
      <c r="C27" s="4"/>
      <c r="D27" s="4"/>
      <c r="E27" s="4"/>
      <c r="F27" s="4"/>
      <c r="G27" s="4"/>
    </row>
    <row r="28" spans="1:7" ht="15" customHeight="1" x14ac:dyDescent="0.2">
      <c r="A28" s="13">
        <v>21</v>
      </c>
      <c r="B28" s="4" t="s">
        <v>109</v>
      </c>
      <c r="C28" s="4"/>
      <c r="D28" s="4"/>
      <c r="E28" s="4"/>
      <c r="F28" s="4"/>
      <c r="G28" s="4"/>
    </row>
    <row r="29" spans="1:7" ht="15" customHeight="1" x14ac:dyDescent="0.2">
      <c r="A29" s="13">
        <v>22</v>
      </c>
      <c r="B29" s="4"/>
      <c r="C29" s="4"/>
      <c r="D29" s="4"/>
      <c r="E29" s="4"/>
      <c r="F29" s="4"/>
      <c r="G29" s="4"/>
    </row>
    <row r="30" spans="1:7" ht="15" customHeight="1" x14ac:dyDescent="0.2">
      <c r="A30" s="13">
        <v>23</v>
      </c>
      <c r="B30" s="4" t="s">
        <v>110</v>
      </c>
      <c r="C30" s="4"/>
      <c r="D30" s="4"/>
      <c r="E30" s="4"/>
      <c r="F30" s="4"/>
      <c r="G30" s="4"/>
    </row>
    <row r="31" spans="1:7" ht="15" customHeight="1" x14ac:dyDescent="0.2">
      <c r="A31" s="13">
        <v>24</v>
      </c>
      <c r="B31" s="4" t="s">
        <v>150</v>
      </c>
      <c r="C31" s="4"/>
      <c r="D31" s="4"/>
      <c r="E31" s="4"/>
      <c r="F31" s="4"/>
      <c r="G31" s="4"/>
    </row>
    <row r="32" spans="1:7" ht="15" customHeight="1" x14ac:dyDescent="0.2">
      <c r="A32" s="13">
        <v>25</v>
      </c>
      <c r="B32" s="4" t="s">
        <v>151</v>
      </c>
      <c r="C32" s="4"/>
      <c r="D32" s="4"/>
      <c r="E32" s="4"/>
      <c r="F32" s="4"/>
      <c r="G32" s="4"/>
    </row>
    <row r="33" spans="1:7" ht="15" customHeight="1" x14ac:dyDescent="0.2">
      <c r="A33" s="13">
        <v>26</v>
      </c>
      <c r="B33" s="4" t="s">
        <v>152</v>
      </c>
      <c r="C33" s="4"/>
      <c r="D33" s="4"/>
      <c r="E33" s="4"/>
      <c r="F33" s="4"/>
      <c r="G33" s="4"/>
    </row>
    <row r="34" spans="1:7" ht="15" customHeight="1" x14ac:dyDescent="0.2">
      <c r="A34" s="13">
        <v>27</v>
      </c>
      <c r="B34" s="4" t="s">
        <v>153</v>
      </c>
      <c r="C34" s="4"/>
      <c r="D34" s="4"/>
      <c r="E34" s="4"/>
      <c r="F34" s="4"/>
      <c r="G34" s="4"/>
    </row>
    <row r="35" spans="1:7" ht="15" customHeight="1" x14ac:dyDescent="0.2">
      <c r="A35" s="13">
        <v>28</v>
      </c>
      <c r="B35" s="4" t="s">
        <v>154</v>
      </c>
      <c r="C35" s="4"/>
      <c r="D35" s="4"/>
      <c r="E35" s="4"/>
      <c r="F35" s="4"/>
      <c r="G35" s="4"/>
    </row>
    <row r="36" spans="1:7" ht="15" customHeight="1" x14ac:dyDescent="0.2">
      <c r="A36" s="13">
        <v>29</v>
      </c>
      <c r="B36" s="4" t="s">
        <v>155</v>
      </c>
      <c r="C36" s="4"/>
      <c r="D36" s="4"/>
      <c r="E36" s="4"/>
      <c r="F36" s="4"/>
      <c r="G36" s="4"/>
    </row>
    <row r="37" spans="1:7" ht="15" customHeight="1" x14ac:dyDescent="0.2">
      <c r="A37" s="13">
        <v>30</v>
      </c>
      <c r="B37" s="4" t="s">
        <v>156</v>
      </c>
      <c r="C37" s="4"/>
      <c r="D37" s="4"/>
      <c r="E37" s="4"/>
      <c r="F37" s="4"/>
      <c r="G37" s="4"/>
    </row>
    <row r="38" spans="1:7" ht="15" customHeight="1" x14ac:dyDescent="0.2">
      <c r="A38" s="13">
        <v>31</v>
      </c>
      <c r="B38" s="4" t="s">
        <v>157</v>
      </c>
      <c r="C38" s="4"/>
      <c r="D38" s="4"/>
      <c r="E38" s="4"/>
      <c r="F38" s="4"/>
      <c r="G38" s="4"/>
    </row>
    <row r="39" spans="1:7" ht="15" customHeight="1" x14ac:dyDescent="0.2">
      <c r="A39" s="13">
        <v>32</v>
      </c>
      <c r="B39" s="4" t="s">
        <v>148</v>
      </c>
      <c r="C39" s="4"/>
      <c r="D39" s="4"/>
      <c r="E39" s="4"/>
      <c r="F39" s="4"/>
      <c r="G39" s="4"/>
    </row>
    <row r="40" spans="1:7" ht="15" customHeight="1" x14ac:dyDescent="0.2">
      <c r="A40" s="13">
        <v>33</v>
      </c>
      <c r="B40" s="4" t="s">
        <v>149</v>
      </c>
      <c r="C40" s="4"/>
      <c r="D40" s="4"/>
      <c r="E40" s="4"/>
      <c r="F40" s="4"/>
      <c r="G40" s="4"/>
    </row>
    <row r="41" spans="1:7" ht="15" customHeight="1" x14ac:dyDescent="0.2">
      <c r="A41" s="13">
        <v>34</v>
      </c>
      <c r="B41" s="4" t="s">
        <v>109</v>
      </c>
      <c r="C41" s="4"/>
      <c r="D41" s="4"/>
      <c r="E41" s="4"/>
      <c r="F41" s="4"/>
      <c r="G41" s="4"/>
    </row>
    <row r="42" spans="1:7" ht="15" customHeight="1" x14ac:dyDescent="0.2">
      <c r="A42" s="13">
        <v>35</v>
      </c>
      <c r="B42" s="4"/>
      <c r="C42" s="4"/>
      <c r="D42" s="4"/>
      <c r="E42" s="4"/>
      <c r="F42" s="4"/>
      <c r="G42" s="4"/>
    </row>
    <row r="43" spans="1:7" ht="15" customHeight="1" x14ac:dyDescent="0.2">
      <c r="A43" s="13">
        <v>36</v>
      </c>
      <c r="B43" s="4" t="s">
        <v>158</v>
      </c>
      <c r="C43" s="4"/>
      <c r="D43" s="4"/>
      <c r="E43" s="4"/>
      <c r="F43" s="4"/>
      <c r="G43" s="4"/>
    </row>
    <row r="44" spans="1:7" ht="15" customHeight="1" x14ac:dyDescent="0.2">
      <c r="A44" s="13">
        <v>37</v>
      </c>
      <c r="B44" s="4" t="s">
        <v>159</v>
      </c>
      <c r="C44" s="4"/>
      <c r="D44" s="4"/>
      <c r="E44" s="4"/>
      <c r="F44" s="4"/>
      <c r="G44" s="4"/>
    </row>
    <row r="45" spans="1:7" ht="15" customHeight="1" x14ac:dyDescent="0.2">
      <c r="A45" s="13">
        <v>38</v>
      </c>
      <c r="B45" s="4" t="s">
        <v>109</v>
      </c>
      <c r="C45" s="4"/>
      <c r="D45" s="4"/>
      <c r="E45" s="4"/>
      <c r="F45" s="4"/>
      <c r="G45" s="4"/>
    </row>
    <row r="46" spans="1:7" ht="6" customHeight="1" x14ac:dyDescent="0.2"/>
    <row r="48" spans="1:7" ht="24" customHeight="1" x14ac:dyDescent="0.2">
      <c r="A48" s="11" t="s">
        <v>34</v>
      </c>
      <c r="B48" s="12"/>
      <c r="C48" s="12"/>
      <c r="D48" s="12"/>
      <c r="E48" s="12"/>
      <c r="F48" s="12"/>
      <c r="G48" s="12"/>
    </row>
    <row r="50" spans="1:7" ht="16.5" customHeight="1" x14ac:dyDescent="0.2">
      <c r="A50" s="14">
        <v>1</v>
      </c>
      <c r="B50" s="7" t="s">
        <v>160</v>
      </c>
      <c r="C50" s="7"/>
      <c r="D50" s="7"/>
      <c r="E50" s="7"/>
      <c r="F50" s="7"/>
      <c r="G50" s="7"/>
    </row>
    <row r="51" spans="1:7" ht="16.5" customHeight="1" x14ac:dyDescent="0.2">
      <c r="A51" s="14">
        <v>2</v>
      </c>
      <c r="B51" s="7" t="s">
        <v>161</v>
      </c>
      <c r="C51" s="7"/>
      <c r="D51" s="7"/>
      <c r="E51" s="7"/>
      <c r="F51" s="7"/>
      <c r="G51" s="7"/>
    </row>
    <row r="52" spans="1:7" ht="29.25" customHeight="1" x14ac:dyDescent="0.2">
      <c r="A52" s="14">
        <v>3</v>
      </c>
      <c r="B52" s="7" t="s">
        <v>162</v>
      </c>
      <c r="C52" s="7"/>
      <c r="D52" s="7"/>
      <c r="E52" s="7"/>
      <c r="F52" s="7"/>
      <c r="G52" s="7"/>
    </row>
    <row r="53" spans="1:7" ht="42" customHeight="1" x14ac:dyDescent="0.2">
      <c r="A53" s="14">
        <v>4</v>
      </c>
      <c r="B53" s="7" t="s">
        <v>163</v>
      </c>
      <c r="C53" s="7"/>
      <c r="D53" s="7"/>
      <c r="E53" s="7"/>
      <c r="F53" s="7"/>
      <c r="G53" s="7"/>
    </row>
    <row r="54" spans="1:7" ht="16.5" customHeight="1" x14ac:dyDescent="0.2">
      <c r="A54" s="14">
        <v>5</v>
      </c>
      <c r="B54" s="7" t="s">
        <v>130</v>
      </c>
      <c r="C54" s="7"/>
      <c r="D54" s="7"/>
      <c r="E54" s="7"/>
      <c r="F54" s="7"/>
      <c r="G54" s="7"/>
    </row>
    <row r="56" spans="1:7" ht="24" customHeight="1" x14ac:dyDescent="0.2">
      <c r="A56" s="11" t="s">
        <v>40</v>
      </c>
      <c r="B56" s="12"/>
      <c r="C56" s="12"/>
      <c r="D56" s="12"/>
      <c r="E56" s="12"/>
      <c r="F56" s="12"/>
      <c r="G56" s="12"/>
    </row>
    <row r="58" spans="1:7" ht="29.25" customHeight="1" x14ac:dyDescent="0.2">
      <c r="B58" s="3" t="s">
        <v>41</v>
      </c>
      <c r="C58" s="3"/>
      <c r="D58" s="3"/>
      <c r="E58" s="3"/>
      <c r="F58" s="3"/>
      <c r="G58" s="3"/>
    </row>
    <row r="59" spans="1:7" ht="30" customHeight="1" x14ac:dyDescent="0.2">
      <c r="B59" s="18" t="s">
        <v>164</v>
      </c>
      <c r="C59" s="18" t="s">
        <v>165</v>
      </c>
      <c r="D59" s="18" t="s">
        <v>166</v>
      </c>
      <c r="E59" s="18" t="s">
        <v>167</v>
      </c>
      <c r="F59" s="18" t="s">
        <v>168</v>
      </c>
      <c r="G59" s="18" t="s">
        <v>48</v>
      </c>
    </row>
    <row r="60" spans="1:7" ht="18" customHeight="1" x14ac:dyDescent="0.2">
      <c r="B60" s="19">
        <v>1200</v>
      </c>
      <c r="C60" s="19">
        <v>250</v>
      </c>
      <c r="D60" s="19">
        <v>300</v>
      </c>
      <c r="E60" s="19">
        <v>100</v>
      </c>
      <c r="F60" s="20">
        <f>SUM(B60:E60)</f>
        <v>1850</v>
      </c>
      <c r="G60" s="21" t="str">
        <f>"Total is "&amp;F60</f>
        <v>Total is 1850</v>
      </c>
    </row>
    <row r="61" spans="1:7" ht="18" customHeight="1" x14ac:dyDescent="0.2">
      <c r="B61" s="19">
        <v>950</v>
      </c>
      <c r="C61" s="19">
        <v>180</v>
      </c>
      <c r="D61" s="19">
        <v>210</v>
      </c>
      <c r="E61" s="19">
        <v>75</v>
      </c>
      <c r="F61" s="20">
        <f>SUM(B61:E61)</f>
        <v>1415</v>
      </c>
      <c r="G61" s="21" t="str">
        <f>"Total is "&amp;F61</f>
        <v>Total is 1415</v>
      </c>
    </row>
    <row r="62" spans="1:7" ht="18" customHeight="1" x14ac:dyDescent="0.2">
      <c r="B62" s="19">
        <v>0</v>
      </c>
      <c r="C62" s="20" t="s">
        <v>49</v>
      </c>
      <c r="D62" s="20" t="s">
        <v>49</v>
      </c>
      <c r="E62" s="20" t="s">
        <v>49</v>
      </c>
      <c r="F62" s="20" t="s">
        <v>49</v>
      </c>
      <c r="G62" s="21" t="s">
        <v>169</v>
      </c>
    </row>
  </sheetData>
  <mergeCells count="47">
    <mergeCell ref="B54:G54"/>
    <mergeCell ref="B58:G58"/>
    <mergeCell ref="B45:G45"/>
    <mergeCell ref="B50:G50"/>
    <mergeCell ref="B51:G51"/>
    <mergeCell ref="B52:G52"/>
    <mergeCell ref="B53:G53"/>
    <mergeCell ref="B40:G40"/>
    <mergeCell ref="B41:G41"/>
    <mergeCell ref="B42:G42"/>
    <mergeCell ref="B43:G43"/>
    <mergeCell ref="B44:G44"/>
    <mergeCell ref="B35:G35"/>
    <mergeCell ref="B36:G36"/>
    <mergeCell ref="B37:G37"/>
    <mergeCell ref="B38:G38"/>
    <mergeCell ref="B39:G39"/>
    <mergeCell ref="B30:G30"/>
    <mergeCell ref="B31:G31"/>
    <mergeCell ref="B32:G32"/>
    <mergeCell ref="B33:G33"/>
    <mergeCell ref="B34:G34"/>
    <mergeCell ref="B25:G25"/>
    <mergeCell ref="B26:G26"/>
    <mergeCell ref="B27:G27"/>
    <mergeCell ref="B28:G28"/>
    <mergeCell ref="B29:G29"/>
    <mergeCell ref="B20:G20"/>
    <mergeCell ref="B21:G21"/>
    <mergeCell ref="B22:G22"/>
    <mergeCell ref="B23:G23"/>
    <mergeCell ref="B24:G24"/>
    <mergeCell ref="B15:G15"/>
    <mergeCell ref="B16:G16"/>
    <mergeCell ref="B17:G17"/>
    <mergeCell ref="B18:G18"/>
    <mergeCell ref="B19:G19"/>
    <mergeCell ref="B10:G10"/>
    <mergeCell ref="B11:G11"/>
    <mergeCell ref="B12:G12"/>
    <mergeCell ref="B13:G13"/>
    <mergeCell ref="B14:G14"/>
    <mergeCell ref="A1:G1"/>
    <mergeCell ref="A2:G2"/>
    <mergeCell ref="B7:G7"/>
    <mergeCell ref="B8:G8"/>
    <mergeCell ref="B9:G9"/>
  </mergeCells>
  <printOptions horizontalCentered="1"/>
  <pageMargins left="0.75" right="0.75" top="1" bottom="1" header="0.511811023622047" footer="0.511811023622047"/>
  <pageSetup fitToHeight="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Exercise 01</vt:lpstr>
      <vt:lpstr>Exercise 02</vt:lpstr>
      <vt:lpstr>Exercise 03</vt:lpstr>
      <vt:lpstr>Exercise 04</vt:lpstr>
      <vt:lpstr>'Exercise 01'!Print_Area</vt:lpstr>
      <vt:lpstr>'Exercise 02'!Print_Area</vt:lpstr>
      <vt:lpstr>'Exercise 03'!Print_Area</vt:lpstr>
      <vt:lpstr>'Exercise 04'!Print_Area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Steven Francis</dc:creator>
  <dc:description/>
  <cp:lastModifiedBy>Steven S Francis</cp:lastModifiedBy>
  <cp:revision>0</cp:revision>
  <dcterms:created xsi:type="dcterms:W3CDTF">2026-10-18T02:23:30Z</dcterms:created>
  <dcterms:modified xsi:type="dcterms:W3CDTF">2026-10-18T02:24:38Z</dcterms:modified>
  <dc:language>en-US</dc:language>
</cp:coreProperties>
</file>